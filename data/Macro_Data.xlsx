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z/Documents/Masters/Coursework/First Semester/Macroeconomics/Project/Macro Project/data/"/>
    </mc:Choice>
  </mc:AlternateContent>
  <xr:revisionPtr revIDLastSave="0" documentId="13_ncr:1_{8B86AFE4-4605-4147-8708-0CBE776AC67E}" xr6:coauthVersionLast="47" xr6:coauthVersionMax="47" xr10:uidLastSave="{00000000-0000-0000-0000-000000000000}"/>
  <bookViews>
    <workbookView xWindow="0" yWindow="0" windowWidth="28800" windowHeight="18000" activeTab="9" xr2:uid="{FACA270E-A051-484D-8F71-78DED5343A90}"/>
  </bookViews>
  <sheets>
    <sheet name="Read_Me" sheetId="8" r:id="rId1"/>
    <sheet name="Table" sheetId="14" r:id="rId2"/>
    <sheet name="Logged Data" sheetId="16" r:id="rId3"/>
    <sheet name="GDP" sheetId="1" r:id="rId4"/>
    <sheet name="Consumption" sheetId="2" r:id="rId5"/>
    <sheet name="Inflation" sheetId="3" r:id="rId6"/>
    <sheet name="Government_Expenditure" sheetId="12" r:id="rId7"/>
    <sheet name="Total_Public_Debt" sheetId="5" r:id="rId8"/>
    <sheet name="Federal_Funds_Effective_Rate" sheetId="6" r:id="rId9"/>
    <sheet name="Working_Age_Population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E3" i="16" s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6" i="3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2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2" i="16"/>
  <c r="C177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2" i="6"/>
  <c r="C3" i="5"/>
  <c r="E3" i="5" s="1"/>
  <c r="F3" i="5" s="1"/>
  <c r="G3" i="5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2" i="5"/>
  <c r="E2" i="5" s="1"/>
  <c r="F2" i="5" s="1"/>
  <c r="G2" i="5" s="1"/>
  <c r="D160" i="2"/>
  <c r="D161" i="2"/>
  <c r="D162" i="2"/>
  <c r="D163" i="2"/>
  <c r="D164" i="2"/>
  <c r="D165" i="2"/>
  <c r="D166" i="2"/>
  <c r="D167" i="2"/>
  <c r="D168" i="2"/>
  <c r="D169" i="2"/>
  <c r="D170" i="2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C161" i="2"/>
  <c r="C162" i="2"/>
  <c r="C163" i="2"/>
  <c r="C164" i="2"/>
  <c r="C165" i="2"/>
  <c r="C166" i="2"/>
  <c r="C167" i="2"/>
  <c r="C168" i="2"/>
  <c r="C169" i="2"/>
  <c r="C170" i="2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2" i="2"/>
  <c r="D2" i="2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2" i="1"/>
  <c r="F2" i="1" s="1"/>
  <c r="E4" i="5"/>
  <c r="F4" i="5" s="1"/>
  <c r="G4" i="5" s="1"/>
  <c r="E5" i="5"/>
  <c r="F5" i="5" s="1"/>
  <c r="G5" i="5" s="1"/>
  <c r="E6" i="5"/>
  <c r="F6" i="5" s="1"/>
  <c r="G6" i="5" s="1"/>
  <c r="E7" i="5"/>
  <c r="F7" i="5" s="1"/>
  <c r="G7" i="5" s="1"/>
  <c r="E8" i="5"/>
  <c r="F8" i="5" s="1"/>
  <c r="G8" i="5" s="1"/>
  <c r="E9" i="5"/>
  <c r="F9" i="5" s="1"/>
  <c r="G9" i="5" s="1"/>
  <c r="E10" i="5"/>
  <c r="F10" i="5" s="1"/>
  <c r="G10" i="5" s="1"/>
  <c r="E11" i="5"/>
  <c r="F11" i="5" s="1"/>
  <c r="G11" i="5" s="1"/>
  <c r="E12" i="5"/>
  <c r="F12" i="5" s="1"/>
  <c r="G12" i="5" s="1"/>
  <c r="E13" i="5"/>
  <c r="F13" i="5" s="1"/>
  <c r="G13" i="5" s="1"/>
  <c r="E14" i="5"/>
  <c r="F14" i="5" s="1"/>
  <c r="G14" i="5" s="1"/>
  <c r="E15" i="5"/>
  <c r="F15" i="5" s="1"/>
  <c r="G15" i="5" s="1"/>
  <c r="E16" i="5"/>
  <c r="F16" i="5" s="1"/>
  <c r="G16" i="5" s="1"/>
  <c r="E17" i="5"/>
  <c r="F17" i="5" s="1"/>
  <c r="G17" i="5" s="1"/>
  <c r="E18" i="5"/>
  <c r="F18" i="5" s="1"/>
  <c r="G18" i="5" s="1"/>
  <c r="E19" i="5"/>
  <c r="F19" i="5" s="1"/>
  <c r="G19" i="5" s="1"/>
  <c r="E20" i="5"/>
  <c r="F20" i="5" s="1"/>
  <c r="G20" i="5" s="1"/>
  <c r="E21" i="5"/>
  <c r="F21" i="5" s="1"/>
  <c r="G21" i="5" s="1"/>
  <c r="E22" i="5"/>
  <c r="F22" i="5" s="1"/>
  <c r="G22" i="5" s="1"/>
  <c r="E23" i="5"/>
  <c r="F23" i="5" s="1"/>
  <c r="G23" i="5" s="1"/>
  <c r="E24" i="5"/>
  <c r="F24" i="5" s="1"/>
  <c r="G24" i="5" s="1"/>
  <c r="E25" i="5"/>
  <c r="F25" i="5" s="1"/>
  <c r="G25" i="5" s="1"/>
  <c r="E26" i="5"/>
  <c r="F26" i="5" s="1"/>
  <c r="G26" i="5" s="1"/>
  <c r="E27" i="5"/>
  <c r="F27" i="5" s="1"/>
  <c r="G27" i="5" s="1"/>
  <c r="E28" i="5"/>
  <c r="F28" i="5" s="1"/>
  <c r="G28" i="5" s="1"/>
  <c r="E29" i="5"/>
  <c r="F29" i="5" s="1"/>
  <c r="G29" i="5" s="1"/>
  <c r="E30" i="5"/>
  <c r="F30" i="5" s="1"/>
  <c r="G30" i="5" s="1"/>
  <c r="E31" i="5"/>
  <c r="F31" i="5" s="1"/>
  <c r="G31" i="5" s="1"/>
  <c r="E32" i="5"/>
  <c r="F32" i="5" s="1"/>
  <c r="G32" i="5" s="1"/>
  <c r="E33" i="5"/>
  <c r="F33" i="5" s="1"/>
  <c r="G33" i="5" s="1"/>
  <c r="E34" i="5"/>
  <c r="F34" i="5" s="1"/>
  <c r="G34" i="5" s="1"/>
  <c r="E35" i="5"/>
  <c r="F35" i="5" s="1"/>
  <c r="G35" i="5" s="1"/>
  <c r="E36" i="5"/>
  <c r="F36" i="5" s="1"/>
  <c r="G36" i="5" s="1"/>
  <c r="E37" i="5"/>
  <c r="F37" i="5" s="1"/>
  <c r="G37" i="5" s="1"/>
  <c r="E38" i="5"/>
  <c r="F38" i="5" s="1"/>
  <c r="G38" i="5" s="1"/>
  <c r="E39" i="5"/>
  <c r="F39" i="5" s="1"/>
  <c r="G39" i="5" s="1"/>
  <c r="E40" i="5"/>
  <c r="F40" i="5" s="1"/>
  <c r="G40" i="5" s="1"/>
  <c r="E41" i="5"/>
  <c r="F41" i="5" s="1"/>
  <c r="G41" i="5" s="1"/>
  <c r="E42" i="5"/>
  <c r="F42" i="5" s="1"/>
  <c r="G42" i="5" s="1"/>
  <c r="E43" i="5"/>
  <c r="F43" i="5" s="1"/>
  <c r="G43" i="5" s="1"/>
  <c r="E44" i="5"/>
  <c r="F44" i="5" s="1"/>
  <c r="G44" i="5" s="1"/>
  <c r="E45" i="5"/>
  <c r="F45" i="5" s="1"/>
  <c r="G45" i="5" s="1"/>
  <c r="E46" i="5"/>
  <c r="F46" i="5" s="1"/>
  <c r="G46" i="5" s="1"/>
  <c r="E47" i="5"/>
  <c r="F47" i="5" s="1"/>
  <c r="G47" i="5" s="1"/>
  <c r="E48" i="5"/>
  <c r="F48" i="5" s="1"/>
  <c r="G48" i="5" s="1"/>
  <c r="E49" i="5"/>
  <c r="F49" i="5" s="1"/>
  <c r="G49" i="5" s="1"/>
  <c r="E50" i="5"/>
  <c r="F50" i="5" s="1"/>
  <c r="G50" i="5" s="1"/>
  <c r="E51" i="5"/>
  <c r="F51" i="5" s="1"/>
  <c r="G51" i="5" s="1"/>
  <c r="E52" i="5"/>
  <c r="F52" i="5" s="1"/>
  <c r="G52" i="5" s="1"/>
  <c r="E53" i="5"/>
  <c r="F53" i="5" s="1"/>
  <c r="G53" i="5" s="1"/>
  <c r="E54" i="5"/>
  <c r="F54" i="5" s="1"/>
  <c r="G54" i="5" s="1"/>
  <c r="E55" i="5"/>
  <c r="F55" i="5" s="1"/>
  <c r="G55" i="5" s="1"/>
  <c r="E56" i="5"/>
  <c r="F56" i="5" s="1"/>
  <c r="G56" i="5" s="1"/>
  <c r="E57" i="5"/>
  <c r="F57" i="5" s="1"/>
  <c r="G57" i="5" s="1"/>
  <c r="E58" i="5"/>
  <c r="F58" i="5" s="1"/>
  <c r="G58" i="5" s="1"/>
  <c r="E59" i="5"/>
  <c r="F59" i="5" s="1"/>
  <c r="G59" i="5" s="1"/>
  <c r="E60" i="5"/>
  <c r="F60" i="5" s="1"/>
  <c r="G60" i="5" s="1"/>
  <c r="E61" i="5"/>
  <c r="F61" i="5" s="1"/>
  <c r="G61" i="5" s="1"/>
  <c r="E62" i="5"/>
  <c r="F62" i="5" s="1"/>
  <c r="G62" i="5" s="1"/>
  <c r="E63" i="5"/>
  <c r="F63" i="5" s="1"/>
  <c r="G63" i="5" s="1"/>
  <c r="E64" i="5"/>
  <c r="F64" i="5" s="1"/>
  <c r="G64" i="5" s="1"/>
  <c r="E65" i="5"/>
  <c r="F65" i="5" s="1"/>
  <c r="G65" i="5" s="1"/>
  <c r="E66" i="5"/>
  <c r="F66" i="5" s="1"/>
  <c r="G66" i="5" s="1"/>
  <c r="E67" i="5"/>
  <c r="F67" i="5" s="1"/>
  <c r="G67" i="5" s="1"/>
  <c r="E68" i="5"/>
  <c r="F68" i="5" s="1"/>
  <c r="G68" i="5" s="1"/>
  <c r="E69" i="5"/>
  <c r="F69" i="5" s="1"/>
  <c r="G69" i="5" s="1"/>
  <c r="E70" i="5"/>
  <c r="F70" i="5" s="1"/>
  <c r="G70" i="5" s="1"/>
  <c r="E71" i="5"/>
  <c r="F71" i="5" s="1"/>
  <c r="G71" i="5" s="1"/>
  <c r="E72" i="5"/>
  <c r="F72" i="5" s="1"/>
  <c r="G72" i="5" s="1"/>
  <c r="E73" i="5"/>
  <c r="F73" i="5" s="1"/>
  <c r="G73" i="5" s="1"/>
  <c r="E74" i="5"/>
  <c r="F74" i="5" s="1"/>
  <c r="G74" i="5" s="1"/>
  <c r="E75" i="5"/>
  <c r="F75" i="5" s="1"/>
  <c r="G75" i="5" s="1"/>
  <c r="E76" i="5"/>
  <c r="F76" i="5" s="1"/>
  <c r="G76" i="5" s="1"/>
  <c r="E77" i="5"/>
  <c r="F77" i="5" s="1"/>
  <c r="G77" i="5" s="1"/>
  <c r="E78" i="5"/>
  <c r="F78" i="5" s="1"/>
  <c r="G78" i="5" s="1"/>
  <c r="E79" i="5"/>
  <c r="F79" i="5" s="1"/>
  <c r="G79" i="5" s="1"/>
  <c r="E80" i="5"/>
  <c r="F80" i="5" s="1"/>
  <c r="G80" i="5" s="1"/>
  <c r="E81" i="5"/>
  <c r="F81" i="5" s="1"/>
  <c r="G81" i="5" s="1"/>
  <c r="E82" i="5"/>
  <c r="F82" i="5" s="1"/>
  <c r="G82" i="5" s="1"/>
  <c r="E83" i="5"/>
  <c r="F83" i="5" s="1"/>
  <c r="G83" i="5" s="1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2" i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2" i="12"/>
  <c r="F2" i="12" l="1"/>
</calcChain>
</file>

<file path=xl/sharedStrings.xml><?xml version="1.0" encoding="utf-8"?>
<sst xmlns="http://schemas.openxmlformats.org/spreadsheetml/2006/main" count="78" uniqueCount="55">
  <si>
    <t>All Data has been taken from the Federal Reserve Economic Data, Federal Reserve Bank of St. Louis.</t>
  </si>
  <si>
    <t>POP</t>
  </si>
  <si>
    <t>Tickers:</t>
  </si>
  <si>
    <t>PCECC96</t>
  </si>
  <si>
    <t>CPIAUCSL</t>
  </si>
  <si>
    <t>GFDEBTN</t>
  </si>
  <si>
    <t>Federal Debt: Total Public Debt, Millions of Dollars, Quarterly, Not Seasonally Adjusted</t>
  </si>
  <si>
    <t>FEDFUNDS</t>
  </si>
  <si>
    <t>Date</t>
  </si>
  <si>
    <t>W019RCQ027SBEA</t>
  </si>
  <si>
    <t>Average over Sample Period</t>
  </si>
  <si>
    <t>GovExpend to GDP</t>
  </si>
  <si>
    <t xml:space="preserve"> </t>
  </si>
  <si>
    <t>Standard deviation (%)</t>
  </si>
  <si>
    <t>Correlation with output</t>
  </si>
  <si>
    <t>Data</t>
  </si>
  <si>
    <t>Reg M</t>
  </si>
  <si>
    <t>Reg F</t>
  </si>
  <si>
    <t>Coexist Reg</t>
  </si>
  <si>
    <t>Output</t>
  </si>
  <si>
    <t>Household consumption</t>
  </si>
  <si>
    <t>Inflation (CPI)</t>
  </si>
  <si>
    <t>Public debt</t>
  </si>
  <si>
    <t>Federal funds rate</t>
  </si>
  <si>
    <t>Variables</t>
  </si>
  <si>
    <t>Personal Consumption Expenditures, Billions of Dollars, Quarterly, Seasonally Adjusted Annual Rate</t>
  </si>
  <si>
    <t>Federal Funds Effective Rate, Percent, Quarterly, Not Seasonally Adjusted</t>
  </si>
  <si>
    <t>Consumer Price Index for All Urban Consumers: All Items in U.S. City Average, Percent Change from Year Ago, Quarterly, Seasonally Adjusted</t>
  </si>
  <si>
    <t>GDP</t>
  </si>
  <si>
    <t>Gross Domestic Product, Billions of Dollars, Quarterly, Seasonally Adjusted Annual Rate</t>
  </si>
  <si>
    <t>GDPDEF</t>
  </si>
  <si>
    <t>Gross Domestic Product: Implicit Price Deflator, Index 2017=100, Quarterly, Seasonally Adjusted</t>
  </si>
  <si>
    <t>Real GDP</t>
  </si>
  <si>
    <t>In Billions</t>
  </si>
  <si>
    <t>Real Public Debt</t>
  </si>
  <si>
    <t>Real GDP Per Capita</t>
  </si>
  <si>
    <t>Real Consumption Per Capita</t>
  </si>
  <si>
    <t>Real Public Debt Per Capita</t>
  </si>
  <si>
    <t>Log_GDP</t>
  </si>
  <si>
    <t>Log_Cons</t>
  </si>
  <si>
    <t>Log_Debt</t>
  </si>
  <si>
    <t>Inflation</t>
  </si>
  <si>
    <t xml:space="preserve">*Final Values calculated using r </t>
  </si>
  <si>
    <t>FFR</t>
  </si>
  <si>
    <t>LFWA64TTUSM647S</t>
  </si>
  <si>
    <t>1.244</t>
  </si>
  <si>
    <t>1.236</t>
  </si>
  <si>
    <t>2.552</t>
  </si>
  <si>
    <t>0.884</t>
  </si>
  <si>
    <t>-0.356</t>
  </si>
  <si>
    <t>Infra-Annual Labor Statistics: Working-Age Population Total: From 15 to 64 Years for United States</t>
  </si>
  <si>
    <t>0.536</t>
  </si>
  <si>
    <t>0.568</t>
  </si>
  <si>
    <t>0.282</t>
  </si>
  <si>
    <t>0.344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</si>
</sst>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yyyy\-mm\-dd"/>
    <numFmt numFmtId="165" formatCode="0.000"/>
    <numFmt numFmtId="166" formatCode="0.0"/>
    <numFmt numFmtId="167" formatCode="_(* #,##0.000_);_(* \(#,##0.000\);_(* &quot;-&quot;???_);_(@_)"/>
    <numFmt numFmtId="168" formatCode="0.0000"/>
    <numFmt numFmtId="169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Calibri"/>
      <family val="2"/>
    </font>
    <font>
      <sz val="10"/>
      <color theme="1"/>
      <name val="Aptos Narrow"/>
      <scheme val="minor"/>
    </font>
    <font>
      <sz val="1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2" fontId="0" fillId="0" borderId="0" xfId="0" applyNumberFormat="1"/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horizontal="center"/>
    </xf>
    <xf numFmtId="43" fontId="0" fillId="0" borderId="0" xfId="1" applyFont="1"/>
    <xf numFmtId="43" fontId="4" fillId="0" borderId="0" xfId="1" applyFont="1" applyBorder="1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6" fontId="0" fillId="0" borderId="0" xfId="0" applyNumberFormat="1"/>
    <xf numFmtId="0" fontId="0" fillId="3" borderId="0" xfId="0" applyFill="1"/>
    <xf numFmtId="167" fontId="0" fillId="3" borderId="0" xfId="0" applyNumberFormat="1" applyFill="1"/>
    <xf numFmtId="0" fontId="4" fillId="2" borderId="0" xfId="0" applyFont="1" applyFill="1" applyAlignment="1">
      <alignment horizontal="center"/>
    </xf>
    <xf numFmtId="164" fontId="0" fillId="2" borderId="0" xfId="0" applyNumberFormat="1" applyFill="1"/>
    <xf numFmtId="0" fontId="4" fillId="4" borderId="0" xfId="0" applyFont="1" applyFill="1" applyAlignment="1">
      <alignment horizontal="center"/>
    </xf>
    <xf numFmtId="165" fontId="0" fillId="4" borderId="0" xfId="0" applyNumberFormat="1" applyFill="1"/>
    <xf numFmtId="167" fontId="0" fillId="5" borderId="0" xfId="0" applyNumberFormat="1" applyFill="1"/>
    <xf numFmtId="0" fontId="0" fillId="5" borderId="0" xfId="0" applyFill="1"/>
    <xf numFmtId="165" fontId="0" fillId="0" borderId="0" xfId="0" applyNumberFormat="1"/>
    <xf numFmtId="2" fontId="2" fillId="0" borderId="0" xfId="0" applyNumberFormat="1" applyFont="1"/>
    <xf numFmtId="0" fontId="7" fillId="6" borderId="1" xfId="0" applyFont="1" applyFill="1" applyBorder="1"/>
    <xf numFmtId="0" fontId="6" fillId="7" borderId="1" xfId="0" applyFont="1" applyFill="1" applyBorder="1"/>
    <xf numFmtId="0" fontId="6" fillId="2" borderId="1" xfId="0" applyFont="1" applyFill="1" applyBorder="1"/>
    <xf numFmtId="0" fontId="5" fillId="0" borderId="0" xfId="0" applyFont="1" applyAlignment="1">
      <alignment horizontal="center" vertical="top"/>
    </xf>
    <xf numFmtId="168" fontId="6" fillId="7" borderId="1" xfId="0" applyNumberFormat="1" applyFont="1" applyFill="1" applyBorder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1" applyNumberFormat="1" applyFont="1"/>
    <xf numFmtId="167" fontId="0" fillId="0" borderId="0" xfId="0" applyNumberFormat="1"/>
    <xf numFmtId="0" fontId="6" fillId="2" borderId="0" xfId="0" applyFont="1" applyFill="1"/>
    <xf numFmtId="168" fontId="6" fillId="7" borderId="1" xfId="0" quotePrefix="1" applyNumberFormat="1" applyFont="1" applyFill="1" applyBorder="1"/>
    <xf numFmtId="2" fontId="6" fillId="7" borderId="1" xfId="0" applyNumberFormat="1" applyFont="1" applyFill="1" applyBorder="1"/>
    <xf numFmtId="1" fontId="6" fillId="7" borderId="1" xfId="0" applyNumberFormat="1" applyFont="1" applyFill="1" applyBorder="1"/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6B2C-C1D3-6D4B-91BE-58BC610DD7F6}">
  <dimension ref="A1:C11"/>
  <sheetViews>
    <sheetView showGridLines="0" zoomScale="114" workbookViewId="0">
      <selection activeCell="B17" sqref="B17"/>
    </sheetView>
  </sheetViews>
  <sheetFormatPr baseColWidth="10" defaultColWidth="11" defaultRowHeight="16" x14ac:dyDescent="0.2"/>
  <cols>
    <col min="1" max="1" width="82.5" bestFit="1" customWidth="1"/>
    <col min="2" max="2" width="112.6640625" bestFit="1" customWidth="1"/>
  </cols>
  <sheetData>
    <row r="1" spans="1:3" x14ac:dyDescent="0.2">
      <c r="A1" s="5" t="s">
        <v>0</v>
      </c>
      <c r="C1" t="s">
        <v>1</v>
      </c>
    </row>
    <row r="3" spans="1:3" x14ac:dyDescent="0.2">
      <c r="A3" t="s">
        <v>2</v>
      </c>
    </row>
    <row r="5" spans="1:3" x14ac:dyDescent="0.2">
      <c r="A5" s="6" t="s">
        <v>28</v>
      </c>
      <c r="B5" t="s">
        <v>29</v>
      </c>
    </row>
    <row r="6" spans="1:3" x14ac:dyDescent="0.2">
      <c r="A6" s="6" t="s">
        <v>30</v>
      </c>
      <c r="B6" t="s">
        <v>31</v>
      </c>
    </row>
    <row r="7" spans="1:3" x14ac:dyDescent="0.2">
      <c r="A7" s="6" t="s">
        <v>3</v>
      </c>
      <c r="B7" t="s">
        <v>25</v>
      </c>
    </row>
    <row r="8" spans="1:3" x14ac:dyDescent="0.2">
      <c r="A8" s="6" t="s">
        <v>4</v>
      </c>
      <c r="B8" t="s">
        <v>27</v>
      </c>
    </row>
    <row r="9" spans="1:3" x14ac:dyDescent="0.2">
      <c r="A9" s="6" t="s">
        <v>5</v>
      </c>
      <c r="B9" t="s">
        <v>6</v>
      </c>
    </row>
    <row r="10" spans="1:3" x14ac:dyDescent="0.2">
      <c r="A10" s="6" t="s">
        <v>7</v>
      </c>
      <c r="B10" t="s">
        <v>26</v>
      </c>
    </row>
    <row r="11" spans="1:3" x14ac:dyDescent="0.2">
      <c r="A11" s="6" t="s">
        <v>44</v>
      </c>
      <c r="B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057F-8F51-CB47-A017-CB32BC5F6709}">
  <dimension ref="A1:I10"/>
  <sheetViews>
    <sheetView showGridLines="0" zoomScale="136" workbookViewId="0">
      <selection activeCell="G12" sqref="G12"/>
    </sheetView>
  </sheetViews>
  <sheetFormatPr baseColWidth="10" defaultRowHeight="16" x14ac:dyDescent="0.2"/>
  <cols>
    <col min="1" max="1" width="23" bestFit="1" customWidth="1"/>
    <col min="2" max="2" width="13.6640625" bestFit="1" customWidth="1"/>
    <col min="6" max="6" width="13.1640625" bestFit="1" customWidth="1"/>
  </cols>
  <sheetData>
    <row r="1" spans="1:9" x14ac:dyDescent="0.2">
      <c r="A1" s="38" t="s">
        <v>24</v>
      </c>
      <c r="B1" s="37" t="s">
        <v>13</v>
      </c>
      <c r="C1" s="37"/>
      <c r="D1" s="37"/>
      <c r="E1" s="37"/>
      <c r="F1" s="37" t="s">
        <v>14</v>
      </c>
      <c r="G1" s="37"/>
      <c r="H1" s="37"/>
      <c r="I1" s="37"/>
    </row>
    <row r="2" spans="1:9" x14ac:dyDescent="0.2">
      <c r="A2" s="38"/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15</v>
      </c>
      <c r="G2" s="23" t="s">
        <v>16</v>
      </c>
      <c r="H2" s="23" t="s">
        <v>17</v>
      </c>
      <c r="I2" s="23" t="s">
        <v>18</v>
      </c>
    </row>
    <row r="3" spans="1:9" x14ac:dyDescent="0.2">
      <c r="A3" s="25" t="s">
        <v>19</v>
      </c>
      <c r="B3" s="35" t="s">
        <v>45</v>
      </c>
      <c r="C3" s="24"/>
      <c r="D3" s="24"/>
      <c r="E3" s="24"/>
      <c r="F3" s="36">
        <v>1</v>
      </c>
      <c r="G3" s="24"/>
      <c r="H3" s="24"/>
      <c r="I3" s="24"/>
    </row>
    <row r="4" spans="1:9" x14ac:dyDescent="0.2">
      <c r="A4" s="25" t="s">
        <v>20</v>
      </c>
      <c r="B4" s="35" t="s">
        <v>46</v>
      </c>
      <c r="C4" s="24"/>
      <c r="D4" s="24"/>
      <c r="E4" s="24"/>
      <c r="F4" s="27" t="s">
        <v>48</v>
      </c>
      <c r="G4" s="24"/>
      <c r="H4" s="24"/>
      <c r="I4" s="24"/>
    </row>
    <row r="5" spans="1:9" x14ac:dyDescent="0.2">
      <c r="A5" s="25" t="s">
        <v>21</v>
      </c>
      <c r="B5" s="35" t="s">
        <v>51</v>
      </c>
      <c r="C5" s="24"/>
      <c r="D5" s="24"/>
      <c r="E5" s="24"/>
      <c r="F5" s="34" t="s">
        <v>54</v>
      </c>
      <c r="G5" s="24"/>
      <c r="H5" s="24"/>
      <c r="I5" s="24"/>
    </row>
    <row r="6" spans="1:9" x14ac:dyDescent="0.2">
      <c r="A6" s="25" t="s">
        <v>22</v>
      </c>
      <c r="B6" s="35" t="s">
        <v>47</v>
      </c>
      <c r="C6" s="24"/>
      <c r="D6" s="24"/>
      <c r="E6" s="24"/>
      <c r="F6" s="27" t="s">
        <v>49</v>
      </c>
      <c r="G6" s="24"/>
      <c r="H6" s="24"/>
      <c r="I6" s="24"/>
    </row>
    <row r="7" spans="1:9" x14ac:dyDescent="0.2">
      <c r="A7" s="25" t="s">
        <v>23</v>
      </c>
      <c r="B7" s="35" t="s">
        <v>52</v>
      </c>
      <c r="C7" s="24"/>
      <c r="D7" s="24"/>
      <c r="E7" s="24"/>
      <c r="F7" s="27" t="s">
        <v>53</v>
      </c>
      <c r="G7" s="24"/>
      <c r="H7" s="24"/>
      <c r="I7" s="24"/>
    </row>
    <row r="10" spans="1:9" x14ac:dyDescent="0.2">
      <c r="A10" s="33" t="s">
        <v>42</v>
      </c>
    </row>
  </sheetData>
  <mergeCells count="3">
    <mergeCell ref="B1:E1"/>
    <mergeCell ref="F1:I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3D94-C933-8948-9048-C65C2E0037F4}">
  <dimension ref="A1:F177"/>
  <sheetViews>
    <sheetView workbookViewId="0">
      <selection activeCell="H19" sqref="H19"/>
    </sheetView>
  </sheetViews>
  <sheetFormatPr baseColWidth="10" defaultRowHeight="16" x14ac:dyDescent="0.2"/>
  <sheetData>
    <row r="1" spans="1:6" x14ac:dyDescent="0.2">
      <c r="A1" s="29" t="s">
        <v>8</v>
      </c>
      <c r="B1" t="s">
        <v>38</v>
      </c>
      <c r="C1" t="s">
        <v>39</v>
      </c>
      <c r="D1" t="s">
        <v>40</v>
      </c>
      <c r="E1" t="s">
        <v>41</v>
      </c>
      <c r="F1" t="s">
        <v>43</v>
      </c>
    </row>
    <row r="2" spans="1:6" x14ac:dyDescent="0.2">
      <c r="A2" s="1">
        <v>29952</v>
      </c>
      <c r="B2" s="21">
        <f>GDP!F2</f>
        <v>3.9106396052709025</v>
      </c>
      <c r="C2" s="21">
        <f>Consumption!D2</f>
        <v>3.44509744587819</v>
      </c>
      <c r="D2" s="21">
        <f>Total_Public_Debt!G2</f>
        <v>2.7840285182146047</v>
      </c>
      <c r="E2" s="21">
        <f>Inflation!C6</f>
        <v>8.8837224183347923E-3</v>
      </c>
      <c r="F2" s="21">
        <f>Federal_Funds_Effective_Rate!C2</f>
        <v>0.14230000000000001</v>
      </c>
    </row>
    <row r="3" spans="1:6" x14ac:dyDescent="0.2">
      <c r="A3" s="1">
        <v>30042</v>
      </c>
      <c r="B3" s="21">
        <f>GDP!F3</f>
        <v>3.9110072621466028</v>
      </c>
      <c r="C3" s="21">
        <f>Consumption!D3</f>
        <v>3.4439535772501952</v>
      </c>
      <c r="D3" s="21">
        <f>Total_Public_Debt!G3</f>
        <v>2.7840613310839459</v>
      </c>
      <c r="E3" s="21">
        <f>Inflation!C7</f>
        <v>1.4450317124735778E-2</v>
      </c>
      <c r="F3" s="21">
        <f>Federal_Funds_Effective_Rate!C3</f>
        <v>0.14510000000000001</v>
      </c>
    </row>
    <row r="4" spans="1:6" x14ac:dyDescent="0.2">
      <c r="A4" s="1">
        <v>30133</v>
      </c>
      <c r="B4" s="21">
        <f>GDP!F4</f>
        <v>3.9041398866509542</v>
      </c>
      <c r="C4" s="21">
        <f>Consumption!D4</f>
        <v>3.4475985993891745</v>
      </c>
      <c r="D4" s="21">
        <f>Total_Public_Debt!G4</f>
        <v>2.8231308917004467</v>
      </c>
      <c r="E4" s="21">
        <f>Inflation!C8</f>
        <v>1.7360134212802285E-2</v>
      </c>
      <c r="F4" s="21">
        <f>Federal_Funds_Effective_Rate!C4</f>
        <v>0.1101</v>
      </c>
    </row>
    <row r="5" spans="1:6" x14ac:dyDescent="0.2">
      <c r="A5" s="1">
        <v>30225</v>
      </c>
      <c r="B5" s="21">
        <f>GDP!F5</f>
        <v>3.9010863739231421</v>
      </c>
      <c r="C5" s="21">
        <f>Consumption!D5</f>
        <v>3.4615161743722909</v>
      </c>
      <c r="D5" s="21">
        <f>Total_Public_Debt!G5</f>
        <v>2.85643823643094</v>
      </c>
      <c r="E5" s="21">
        <f>Inflation!C9</f>
        <v>3.0727315559289522E-3</v>
      </c>
      <c r="F5" s="21">
        <f>Federal_Funds_Effective_Rate!C5</f>
        <v>9.2899999999999996E-2</v>
      </c>
    </row>
    <row r="6" spans="1:6" x14ac:dyDescent="0.2">
      <c r="A6" s="1">
        <v>30317</v>
      </c>
      <c r="B6" s="21">
        <f>GDP!F6</f>
        <v>3.9152526032939776</v>
      </c>
      <c r="C6" s="21">
        <f>Consumption!D6</f>
        <v>3.4724391126591576</v>
      </c>
      <c r="D6" s="21">
        <f>Total_Public_Debt!G6</f>
        <v>2.8888431373004342</v>
      </c>
      <c r="E6" s="21">
        <f>Inflation!C10</f>
        <v>6.841411985744648E-4</v>
      </c>
      <c r="F6" s="21">
        <f>Federal_Funds_Effective_Rate!C6</f>
        <v>8.6500000000000007E-2</v>
      </c>
    </row>
    <row r="7" spans="1:6" x14ac:dyDescent="0.2">
      <c r="A7" s="1">
        <v>30407</v>
      </c>
      <c r="B7" s="21">
        <f>GDP!F7</f>
        <v>3.9331134216757886</v>
      </c>
      <c r="C7" s="21">
        <f>Consumption!D7</f>
        <v>3.4879414220546767</v>
      </c>
      <c r="D7" s="21">
        <f>Total_Public_Debt!G7</f>
        <v>2.9353867227235684</v>
      </c>
      <c r="E7" s="21">
        <f>Inflation!C11</f>
        <v>1.1561224489795872E-2</v>
      </c>
      <c r="F7" s="21">
        <f>Federal_Funds_Effective_Rate!C7</f>
        <v>8.8000000000000009E-2</v>
      </c>
    </row>
    <row r="8" spans="1:6" x14ac:dyDescent="0.2">
      <c r="A8" s="1">
        <v>30498</v>
      </c>
      <c r="B8" s="21">
        <f>GDP!F8</f>
        <v>3.9507027471966789</v>
      </c>
      <c r="C8" s="21">
        <f>Consumption!D8</f>
        <v>3.5035221414809778</v>
      </c>
      <c r="D8" s="21">
        <f>Total_Public_Debt!G8</f>
        <v>2.9653592467952459</v>
      </c>
      <c r="E8" s="21">
        <f>Inflation!C12</f>
        <v>9.7545721404577561E-3</v>
      </c>
      <c r="F8" s="21">
        <f>Federal_Funds_Effective_Rate!C8</f>
        <v>9.4600000000000004E-2</v>
      </c>
    </row>
    <row r="9" spans="1:6" x14ac:dyDescent="0.2">
      <c r="A9" s="1">
        <v>30590</v>
      </c>
      <c r="B9" s="21">
        <f>GDP!F9</f>
        <v>3.9686847770322666</v>
      </c>
      <c r="C9" s="21">
        <f>Consumption!D9</f>
        <v>3.5166578564859017</v>
      </c>
      <c r="D9" s="21">
        <f>Total_Public_Debt!G9</f>
        <v>2.9791652923745779</v>
      </c>
      <c r="E9" s="21">
        <f>Inflation!C13</f>
        <v>9.99000999000999E-3</v>
      </c>
      <c r="F9" s="21">
        <f>Federal_Funds_Effective_Rate!C9</f>
        <v>9.4299999999999995E-2</v>
      </c>
    </row>
    <row r="10" spans="1:6" x14ac:dyDescent="0.2">
      <c r="A10" s="1">
        <v>30682</v>
      </c>
      <c r="B10" s="21">
        <f>GDP!F10</f>
        <v>3.9857077840362862</v>
      </c>
      <c r="C10" s="21">
        <f>Consumption!D10</f>
        <v>3.5225966866263594</v>
      </c>
      <c r="D10" s="21">
        <f>Total_Public_Debt!G10</f>
        <v>3.003663719461533</v>
      </c>
      <c r="E10" s="21">
        <f>Inflation!C14</f>
        <v>1.4174085064292848E-2</v>
      </c>
      <c r="F10" s="21">
        <f>Federal_Funds_Effective_Rate!C10</f>
        <v>9.69E-2</v>
      </c>
    </row>
    <row r="11" spans="1:6" x14ac:dyDescent="0.2">
      <c r="A11" s="1">
        <v>30773</v>
      </c>
      <c r="B11" s="21">
        <f>GDP!F11</f>
        <v>3.9998808153636358</v>
      </c>
      <c r="C11" s="21">
        <f>Consumption!D11</f>
        <v>3.5335464577923923</v>
      </c>
      <c r="D11" s="21">
        <f>Total_Public_Debt!G11</f>
        <v>3.0250832306178363</v>
      </c>
      <c r="E11" s="21">
        <f>Inflation!C15</f>
        <v>9.4311099841026674E-3</v>
      </c>
      <c r="F11" s="21">
        <f>Federal_Funds_Effective_Rate!C11</f>
        <v>0.1056</v>
      </c>
    </row>
    <row r="12" spans="1:6" x14ac:dyDescent="0.2">
      <c r="A12" s="1">
        <v>30864</v>
      </c>
      <c r="B12" s="21">
        <f>GDP!F12</f>
        <v>4.0069086012772201</v>
      </c>
      <c r="C12" s="21">
        <f>Consumption!D12</f>
        <v>3.5383653564802016</v>
      </c>
      <c r="D12" s="21">
        <f>Total_Public_Debt!G12</f>
        <v>3.0522890152655737</v>
      </c>
      <c r="E12" s="21">
        <f>Inflation!C16</f>
        <v>8.6956521739130991E-3</v>
      </c>
      <c r="F12" s="21">
        <f>Federal_Funds_Effective_Rate!C12</f>
        <v>0.1139</v>
      </c>
    </row>
    <row r="13" spans="1:6" x14ac:dyDescent="0.2">
      <c r="A13" s="1">
        <v>30956</v>
      </c>
      <c r="B13" s="21">
        <f>GDP!F13</f>
        <v>4.0124529086607943</v>
      </c>
      <c r="C13" s="21">
        <f>Consumption!D13</f>
        <v>3.5486071939186314</v>
      </c>
      <c r="D13" s="21">
        <f>Total_Public_Debt!G13</f>
        <v>3.0982965470368962</v>
      </c>
      <c r="E13" s="21">
        <f>Inflation!C17</f>
        <v>8.6206896551723321E-3</v>
      </c>
      <c r="F13" s="21">
        <f>Federal_Funds_Effective_Rate!C13</f>
        <v>9.2699999999999991E-2</v>
      </c>
    </row>
    <row r="14" spans="1:6" x14ac:dyDescent="0.2">
      <c r="A14" s="1">
        <v>31048</v>
      </c>
      <c r="B14" s="21">
        <f>GDP!F14</f>
        <v>4.0210066097335382</v>
      </c>
      <c r="C14" s="21">
        <f>Consumption!D14</f>
        <v>3.564363911834687</v>
      </c>
      <c r="D14" s="21">
        <f>Total_Public_Debt!G14</f>
        <v>3.1156856657008087</v>
      </c>
      <c r="E14" s="21">
        <f>Inflation!C18</f>
        <v>9.1832858499525053E-3</v>
      </c>
      <c r="F14" s="21">
        <f>Federal_Funds_Effective_Rate!C14</f>
        <v>8.48E-2</v>
      </c>
    </row>
    <row r="15" spans="1:6" x14ac:dyDescent="0.2">
      <c r="A15" s="1">
        <v>31138</v>
      </c>
      <c r="B15" s="21">
        <f>GDP!F15</f>
        <v>4.0271865625258441</v>
      </c>
      <c r="C15" s="21">
        <f>Consumption!D15</f>
        <v>3.5709129794209549</v>
      </c>
      <c r="D15" s="21">
        <f>Total_Public_Debt!G15</f>
        <v>3.1433589025539699</v>
      </c>
      <c r="E15" s="21">
        <f>Inflation!C19</f>
        <v>9.0903102562414316E-3</v>
      </c>
      <c r="F15" s="21">
        <f>Federal_Funds_Effective_Rate!C15</f>
        <v>7.9199999999999993E-2</v>
      </c>
    </row>
    <row r="16" spans="1:6" x14ac:dyDescent="0.2">
      <c r="A16" s="1">
        <v>31229</v>
      </c>
      <c r="B16" s="21">
        <f>GDP!F16</f>
        <v>4.0402270214057134</v>
      </c>
      <c r="C16" s="21">
        <f>Consumption!D16</f>
        <v>3.5876215551692687</v>
      </c>
      <c r="D16" s="21">
        <f>Total_Public_Debt!G16</f>
        <v>3.1621731387235772</v>
      </c>
      <c r="E16" s="21">
        <f>Inflation!C20</f>
        <v>6.2201001557356554E-3</v>
      </c>
      <c r="F16" s="21">
        <f>Federal_Funds_Effective_Rate!C16</f>
        <v>7.9000000000000001E-2</v>
      </c>
    </row>
    <row r="17" spans="1:6" x14ac:dyDescent="0.2">
      <c r="A17" s="1">
        <v>31321</v>
      </c>
      <c r="B17" s="21">
        <f>GDP!F17</f>
        <v>4.0450142874193533</v>
      </c>
      <c r="C17" s="21">
        <f>Consumption!D17</f>
        <v>3.5871646854665378</v>
      </c>
      <c r="D17" s="21">
        <f>Total_Public_Debt!G17</f>
        <v>3.2191844423424589</v>
      </c>
      <c r="E17" s="21">
        <f>Inflation!C21</f>
        <v>1.0194624652455924E-2</v>
      </c>
      <c r="F17" s="21">
        <f>Federal_Funds_Effective_Rate!C17</f>
        <v>8.1000000000000003E-2</v>
      </c>
    </row>
    <row r="18" spans="1:6" x14ac:dyDescent="0.2">
      <c r="A18" s="1">
        <v>31413</v>
      </c>
      <c r="B18" s="21">
        <f>GDP!F18</f>
        <v>4.0498431660368164</v>
      </c>
      <c r="C18" s="21">
        <f>Consumption!D18</f>
        <v>3.5914051417039294</v>
      </c>
      <c r="D18" s="21">
        <f>Total_Public_Debt!G18</f>
        <v>3.2305464412584937</v>
      </c>
      <c r="E18" s="21">
        <f>Inflation!C22</f>
        <v>5.2018348623852576E-3</v>
      </c>
      <c r="F18" s="21">
        <f>Federal_Funds_Effective_Rate!C18</f>
        <v>7.8299999999999995E-2</v>
      </c>
    </row>
    <row r="19" spans="1:6" x14ac:dyDescent="0.2">
      <c r="A19" s="1">
        <v>31503</v>
      </c>
      <c r="B19" s="21">
        <f>GDP!F19</f>
        <v>4.051389673125378</v>
      </c>
      <c r="C19" s="21">
        <f>Consumption!D19</f>
        <v>3.5992934846424705</v>
      </c>
      <c r="D19" s="21">
        <f>Total_Public_Debt!G19</f>
        <v>3.2596770542524829</v>
      </c>
      <c r="E19" s="21">
        <f>Inflation!C23</f>
        <v>-4.873730228992232E-3</v>
      </c>
      <c r="F19" s="21">
        <f>Federal_Funds_Effective_Rate!C19</f>
        <v>6.9199999999999998E-2</v>
      </c>
    </row>
    <row r="20" spans="1:6" x14ac:dyDescent="0.2">
      <c r="A20" s="1">
        <v>31594</v>
      </c>
      <c r="B20" s="21">
        <f>GDP!F20</f>
        <v>4.0584701077110683</v>
      </c>
      <c r="C20" s="21">
        <f>Consumption!D20</f>
        <v>3.614374630711902</v>
      </c>
      <c r="D20" s="21">
        <f>Total_Public_Debt!G20</f>
        <v>3.2846628694626849</v>
      </c>
      <c r="E20" s="21">
        <f>Inflation!C24</f>
        <v>6.1174139939284581E-3</v>
      </c>
      <c r="F20" s="21">
        <f>Federal_Funds_Effective_Rate!C20</f>
        <v>6.2100000000000002E-2</v>
      </c>
    </row>
    <row r="21" spans="1:6" x14ac:dyDescent="0.2">
      <c r="A21" s="1">
        <v>31686</v>
      </c>
      <c r="B21" s="21">
        <f>GDP!F21</f>
        <v>4.0610474539518089</v>
      </c>
      <c r="C21" s="21">
        <f>Consumption!D21</f>
        <v>3.6177062086015774</v>
      </c>
      <c r="D21" s="21">
        <f>Total_Public_Debt!G21</f>
        <v>3.3177192716055073</v>
      </c>
      <c r="E21" s="21">
        <f>Inflation!C25</f>
        <v>6.9917958067456324E-3</v>
      </c>
      <c r="F21" s="21">
        <f>Federal_Funds_Effective_Rate!C21</f>
        <v>6.2699999999999992E-2</v>
      </c>
    </row>
    <row r="22" spans="1:6" x14ac:dyDescent="0.2">
      <c r="A22" s="1">
        <v>31778</v>
      </c>
      <c r="B22" s="21">
        <f>GDP!F22</f>
        <v>4.0663022308631138</v>
      </c>
      <c r="C22" s="21">
        <f>Consumption!D22</f>
        <v>3.6165230769615877</v>
      </c>
      <c r="D22" s="21">
        <f>Total_Public_Debt!G22</f>
        <v>3.3235099111150328</v>
      </c>
      <c r="E22" s="21">
        <f>Inflation!C26</f>
        <v>1.2066952121448021E-2</v>
      </c>
      <c r="F22" s="21">
        <f>Federal_Funds_Effective_Rate!C22</f>
        <v>6.2199999999999998E-2</v>
      </c>
    </row>
    <row r="23" spans="1:6" x14ac:dyDescent="0.2">
      <c r="A23" s="1">
        <v>31868</v>
      </c>
      <c r="B23" s="21">
        <f>GDP!F23</f>
        <v>4.0739306011838927</v>
      </c>
      <c r="C23" s="21">
        <f>Consumption!D23</f>
        <v>3.6269653070196473</v>
      </c>
      <c r="D23" s="21">
        <f>Total_Public_Debt!G23</f>
        <v>3.3409748888846811</v>
      </c>
      <c r="E23" s="21">
        <f>Inflation!C27</f>
        <v>1.1332737030411412E-2</v>
      </c>
      <c r="F23" s="21">
        <f>Federal_Funds_Effective_Rate!C23</f>
        <v>6.6500000000000004E-2</v>
      </c>
    </row>
    <row r="24" spans="1:6" x14ac:dyDescent="0.2">
      <c r="A24" s="1">
        <v>31959</v>
      </c>
      <c r="B24" s="21">
        <f>GDP!F24</f>
        <v>4.0806029265380079</v>
      </c>
      <c r="C24" s="21">
        <f>Consumption!D24</f>
        <v>3.6363499187269364</v>
      </c>
      <c r="D24" s="21">
        <f>Total_Public_Debt!G24</f>
        <v>3.3490579339321309</v>
      </c>
      <c r="E24" s="21">
        <f>Inflation!C28</f>
        <v>1.0613176258324735E-2</v>
      </c>
      <c r="F24" s="21">
        <f>Federal_Funds_Effective_Rate!C24</f>
        <v>6.8400000000000002E-2</v>
      </c>
    </row>
    <row r="25" spans="1:6" x14ac:dyDescent="0.2">
      <c r="A25" s="1">
        <v>32051</v>
      </c>
      <c r="B25" s="21">
        <f>GDP!F25</f>
        <v>4.0954017178948892</v>
      </c>
      <c r="C25" s="21">
        <f>Consumption!D25</f>
        <v>3.6362439032291305</v>
      </c>
      <c r="D25" s="21">
        <f>Total_Public_Debt!G25</f>
        <v>3.372963051917806</v>
      </c>
      <c r="E25" s="21">
        <f>Inflation!C29</f>
        <v>9.3290276282741516E-3</v>
      </c>
      <c r="F25" s="21">
        <f>Federal_Funds_Effective_Rate!C25</f>
        <v>6.9199999999999998E-2</v>
      </c>
    </row>
    <row r="26" spans="1:6" x14ac:dyDescent="0.2">
      <c r="A26" s="1">
        <v>32143</v>
      </c>
      <c r="B26" s="21">
        <f>GDP!F26</f>
        <v>4.0983192420360659</v>
      </c>
      <c r="C26" s="21">
        <f>Consumption!D26</f>
        <v>3.6515096372642319</v>
      </c>
      <c r="D26" s="21">
        <f>Total_Public_Debt!G26</f>
        <v>3.3856122491020879</v>
      </c>
      <c r="E26" s="21">
        <f>Inflation!C30</f>
        <v>7.8034907615340422E-3</v>
      </c>
      <c r="F26" s="21">
        <f>Federal_Funds_Effective_Rate!C26</f>
        <v>6.6600000000000006E-2</v>
      </c>
    </row>
    <row r="27" spans="1:6" x14ac:dyDescent="0.2">
      <c r="A27" s="1">
        <v>32234</v>
      </c>
      <c r="B27" s="21">
        <f>GDP!F27</f>
        <v>4.1093508808070434</v>
      </c>
      <c r="C27" s="21">
        <f>Consumption!D27</f>
        <v>3.6568481493793636</v>
      </c>
      <c r="D27" s="21">
        <f>Total_Public_Debt!G27</f>
        <v>3.397783967983361</v>
      </c>
      <c r="E27" s="21">
        <f>Inflation!C31</f>
        <v>1.147694716646726E-2</v>
      </c>
      <c r="F27" s="21">
        <f>Federal_Funds_Effective_Rate!C27</f>
        <v>7.1599999999999997E-2</v>
      </c>
    </row>
    <row r="28" spans="1:6" x14ac:dyDescent="0.2">
      <c r="A28" s="1">
        <v>32325</v>
      </c>
      <c r="B28" s="21">
        <f>GDP!F28</f>
        <v>4.1130396413408707</v>
      </c>
      <c r="C28" s="21">
        <f>Consumption!D28</f>
        <v>3.6635507901969229</v>
      </c>
      <c r="D28" s="21">
        <f>Total_Public_Debt!G28</f>
        <v>3.4049274640330571</v>
      </c>
      <c r="E28" s="21">
        <f>Inflation!C32</f>
        <v>1.2188794474640052E-2</v>
      </c>
      <c r="F28" s="21">
        <f>Federal_Funds_Effective_Rate!C28</f>
        <v>7.980000000000001E-2</v>
      </c>
    </row>
    <row r="29" spans="1:6" x14ac:dyDescent="0.2">
      <c r="A29" s="1">
        <v>32417</v>
      </c>
      <c r="B29" s="21">
        <f>GDP!F29</f>
        <v>4.1240288965439253</v>
      </c>
      <c r="C29" s="21">
        <f>Consumption!D29</f>
        <v>3.6726014525162372</v>
      </c>
      <c r="D29" s="21">
        <f>Total_Public_Debt!G29</f>
        <v>3.4251751321493504</v>
      </c>
      <c r="E29" s="21">
        <f>Inflation!C33</f>
        <v>1.0924369747899136E-2</v>
      </c>
      <c r="F29" s="21">
        <f>Federal_Funds_Effective_Rate!C29</f>
        <v>8.4700000000000011E-2</v>
      </c>
    </row>
    <row r="30" spans="1:6" x14ac:dyDescent="0.2">
      <c r="A30" s="1">
        <v>32509</v>
      </c>
      <c r="B30" s="21">
        <f>GDP!F30</f>
        <v>4.1321366938707875</v>
      </c>
      <c r="C30" s="21">
        <f>Consumption!D30</f>
        <v>3.675225861653542</v>
      </c>
      <c r="D30" s="21">
        <f>Total_Public_Debt!G30</f>
        <v>3.4336302957719482</v>
      </c>
      <c r="E30" s="21">
        <f>Inflation!C34</f>
        <v>1.136325852036579E-2</v>
      </c>
      <c r="F30" s="21">
        <f>Federal_Funds_Effective_Rate!C30</f>
        <v>9.4399999999999998E-2</v>
      </c>
    </row>
    <row r="31" spans="1:6" x14ac:dyDescent="0.2">
      <c r="A31" s="1">
        <v>32599</v>
      </c>
      <c r="B31" s="21">
        <f>GDP!F31</f>
        <v>4.1387642163675231</v>
      </c>
      <c r="C31" s="21">
        <f>Consumption!D31</f>
        <v>3.6789115963527932</v>
      </c>
      <c r="D31" s="21">
        <f>Total_Public_Debt!G31</f>
        <v>3.4433664725515238</v>
      </c>
      <c r="E31" s="21">
        <f>Inflation!C35</f>
        <v>1.6158859838740117E-2</v>
      </c>
      <c r="F31" s="21">
        <f>Federal_Funds_Effective_Rate!C31</f>
        <v>9.7299999999999998E-2</v>
      </c>
    </row>
    <row r="32" spans="1:6" x14ac:dyDescent="0.2">
      <c r="A32" s="1">
        <v>32690</v>
      </c>
      <c r="B32" s="21">
        <f>GDP!F32</f>
        <v>4.1438900975793747</v>
      </c>
      <c r="C32" s="21">
        <f>Consumption!D32</f>
        <v>3.686280215957086</v>
      </c>
      <c r="D32" s="21">
        <f>Total_Public_Debt!G32</f>
        <v>3.4541603808394825</v>
      </c>
      <c r="E32" s="21">
        <f>Inflation!C36</f>
        <v>7.8215363212087285E-3</v>
      </c>
      <c r="F32" s="21">
        <f>Federal_Funds_Effective_Rate!C32</f>
        <v>9.0800000000000006E-2</v>
      </c>
    </row>
    <row r="33" spans="1:6" x14ac:dyDescent="0.2">
      <c r="A33" s="1">
        <v>32782</v>
      </c>
      <c r="B33" s="21">
        <f>GDP!F33</f>
        <v>4.1430070585384993</v>
      </c>
      <c r="C33" s="21">
        <f>Consumption!D33</f>
        <v>3.687765413561761</v>
      </c>
      <c r="D33" s="21">
        <f>Total_Public_Debt!G33</f>
        <v>3.4771074118836252</v>
      </c>
      <c r="E33" s="21">
        <f>Inflation!C37</f>
        <v>1.0168539325842779E-2</v>
      </c>
      <c r="F33" s="21">
        <f>Federal_Funds_Effective_Rate!C33</f>
        <v>8.6099999999999996E-2</v>
      </c>
    </row>
    <row r="34" spans="1:6" x14ac:dyDescent="0.2">
      <c r="A34" s="1">
        <v>32874</v>
      </c>
      <c r="B34" s="21">
        <f>GDP!F34</f>
        <v>4.1437453619400877</v>
      </c>
      <c r="C34" s="21">
        <f>Consumption!D34</f>
        <v>3.6860222733379815</v>
      </c>
      <c r="D34" s="21">
        <f>Total_Public_Debt!G34</f>
        <v>3.4892140495037509</v>
      </c>
      <c r="E34" s="21">
        <f>Inflation!C38</f>
        <v>1.7208640866946717E-2</v>
      </c>
      <c r="F34" s="21">
        <f>Federal_Funds_Effective_Rate!C34</f>
        <v>8.2500000000000004E-2</v>
      </c>
    </row>
    <row r="35" spans="1:6" x14ac:dyDescent="0.2">
      <c r="A35" s="1">
        <v>32964</v>
      </c>
      <c r="B35" s="21">
        <f>GDP!F35</f>
        <v>4.1458028855016194</v>
      </c>
      <c r="C35" s="21">
        <f>Consumption!D35</f>
        <v>3.6875047903128864</v>
      </c>
      <c r="D35" s="21">
        <f>Total_Public_Debt!G35</f>
        <v>3.506145333679727</v>
      </c>
      <c r="E35" s="21">
        <f>Inflation!C39</f>
        <v>9.8958862168349142E-3</v>
      </c>
      <c r="F35" s="21">
        <f>Federal_Funds_Effective_Rate!C35</f>
        <v>8.2400000000000001E-2</v>
      </c>
    </row>
    <row r="36" spans="1:6" x14ac:dyDescent="0.2">
      <c r="A36" s="1">
        <v>33055</v>
      </c>
      <c r="B36" s="21">
        <f>GDP!F36</f>
        <v>4.1441752883682295</v>
      </c>
      <c r="C36" s="21">
        <f>Consumption!D36</f>
        <v>3.689155194069317</v>
      </c>
      <c r="D36" s="21">
        <f>Total_Public_Debt!G36</f>
        <v>3.5234069621686706</v>
      </c>
      <c r="E36" s="21">
        <f>Inflation!C40</f>
        <v>1.7269914926527265E-2</v>
      </c>
      <c r="F36" s="21">
        <f>Federal_Funds_Effective_Rate!C36</f>
        <v>8.1600000000000006E-2</v>
      </c>
    </row>
    <row r="37" spans="1:6" x14ac:dyDescent="0.2">
      <c r="A37" s="1">
        <v>33147</v>
      </c>
      <c r="B37" s="21">
        <f>GDP!F37</f>
        <v>4.1320370920593792</v>
      </c>
      <c r="C37" s="21">
        <f>Consumption!D37</f>
        <v>3.6785287449539319</v>
      </c>
      <c r="D37" s="21">
        <f>Total_Public_Debt!G37</f>
        <v>3.5528635703017968</v>
      </c>
      <c r="E37" s="21">
        <f>Inflation!C41</f>
        <v>1.6984330928360252E-2</v>
      </c>
      <c r="F37" s="21">
        <f>Federal_Funds_Effective_Rate!C37</f>
        <v>7.7399999999999997E-2</v>
      </c>
    </row>
    <row r="38" spans="1:6" x14ac:dyDescent="0.2">
      <c r="A38" s="1">
        <v>33239</v>
      </c>
      <c r="B38" s="21">
        <f>GDP!F38</f>
        <v>4.1259373422450158</v>
      </c>
      <c r="C38" s="21">
        <f>Consumption!D38</f>
        <v>3.6733476076609901</v>
      </c>
      <c r="D38" s="21">
        <f>Total_Public_Debt!G38</f>
        <v>3.5710991701245942</v>
      </c>
      <c r="E38" s="21">
        <f>Inflation!C42</f>
        <v>7.4756853334529442E-3</v>
      </c>
      <c r="F38" s="21">
        <f>Federal_Funds_Effective_Rate!C38</f>
        <v>6.4299999999999996E-2</v>
      </c>
    </row>
    <row r="39" spans="1:6" x14ac:dyDescent="0.2">
      <c r="A39" s="1">
        <v>33329</v>
      </c>
      <c r="B39" s="21">
        <f>GDP!F39</f>
        <v>4.1314298777327556</v>
      </c>
      <c r="C39" s="21">
        <f>Consumption!D39</f>
        <v>3.6793274186933194</v>
      </c>
      <c r="D39" s="21">
        <f>Total_Public_Debt!G39</f>
        <v>3.5823053714856941</v>
      </c>
      <c r="E39" s="21">
        <f>Inflation!C43</f>
        <v>5.9361713179043188E-3</v>
      </c>
      <c r="F39" s="21">
        <f>Federal_Funds_Effective_Rate!C39</f>
        <v>5.8600000000000006E-2</v>
      </c>
    </row>
    <row r="40" spans="1:6" x14ac:dyDescent="0.2">
      <c r="A40" s="1">
        <v>33420</v>
      </c>
      <c r="B40" s="21">
        <f>GDP!F40</f>
        <v>4.1346358777752803</v>
      </c>
      <c r="C40" s="21">
        <f>Consumption!D40</f>
        <v>3.6824774654825672</v>
      </c>
      <c r="D40" s="21">
        <f>Total_Public_Debt!G40</f>
        <v>3.6080404691309553</v>
      </c>
      <c r="E40" s="21">
        <f>Inflation!C44</f>
        <v>7.6198484882013104E-3</v>
      </c>
      <c r="F40" s="21">
        <f>Federal_Funds_Effective_Rate!C40</f>
        <v>5.6399999999999999E-2</v>
      </c>
    </row>
    <row r="41" spans="1:6" x14ac:dyDescent="0.2">
      <c r="A41" s="1">
        <v>33512</v>
      </c>
      <c r="B41" s="21">
        <f>GDP!F41</f>
        <v>4.135229581434646</v>
      </c>
      <c r="C41" s="21">
        <f>Consumption!D41</f>
        <v>3.6790830393547433</v>
      </c>
      <c r="D41" s="21">
        <f>Total_Public_Debt!G41</f>
        <v>3.6357722285985932</v>
      </c>
      <c r="E41" s="21">
        <f>Inflation!C45</f>
        <v>8.2942898975110532E-3</v>
      </c>
      <c r="F41" s="21">
        <f>Federal_Funds_Effective_Rate!C41</f>
        <v>4.82E-2</v>
      </c>
    </row>
    <row r="42" spans="1:6" x14ac:dyDescent="0.2">
      <c r="A42" s="1">
        <v>33604</v>
      </c>
      <c r="B42" s="21">
        <f>GDP!F42</f>
        <v>4.1461815301800007</v>
      </c>
      <c r="C42" s="21">
        <f>Consumption!D42</f>
        <v>3.6966813869983532</v>
      </c>
      <c r="D42" s="21">
        <f>Total_Public_Debt!G42</f>
        <v>3.6518325931953304</v>
      </c>
      <c r="E42" s="21">
        <f>Inflation!C46</f>
        <v>6.7812361598164382E-3</v>
      </c>
      <c r="F42" s="21">
        <f>Federal_Funds_Effective_Rate!C42</f>
        <v>4.0199999999999993E-2</v>
      </c>
    </row>
    <row r="43" spans="1:6" x14ac:dyDescent="0.2">
      <c r="A43" s="1">
        <v>33695</v>
      </c>
      <c r="B43" s="21">
        <f>GDP!F43</f>
        <v>4.1545838013496921</v>
      </c>
      <c r="C43" s="21">
        <f>Consumption!D43</f>
        <v>3.7010696110955617</v>
      </c>
      <c r="D43" s="21">
        <f>Total_Public_Debt!G43</f>
        <v>3.6697407556894666</v>
      </c>
      <c r="E43" s="21">
        <f>Inflation!C47</f>
        <v>7.6874815204771322E-3</v>
      </c>
      <c r="F43" s="21">
        <f>Federal_Funds_Effective_Rate!C43</f>
        <v>3.7699999999999997E-2</v>
      </c>
    </row>
    <row r="44" spans="1:6" x14ac:dyDescent="0.2">
      <c r="A44" s="1">
        <v>33786</v>
      </c>
      <c r="B44" s="21">
        <f>GDP!F44</f>
        <v>4.1620301395903008</v>
      </c>
      <c r="C44" s="21">
        <f>Consumption!D44</f>
        <v>3.7093510022710028</v>
      </c>
      <c r="D44" s="21">
        <f>Total_Public_Debt!G44</f>
        <v>3.6823482048723259</v>
      </c>
      <c r="E44" s="21">
        <f>Inflation!C48</f>
        <v>7.6359914980713732E-3</v>
      </c>
      <c r="F44" s="21">
        <f>Federal_Funds_Effective_Rate!C44</f>
        <v>3.2599999999999997E-2</v>
      </c>
    </row>
    <row r="45" spans="1:6" x14ac:dyDescent="0.2">
      <c r="A45" s="1">
        <v>33878</v>
      </c>
      <c r="B45" s="21">
        <f>GDP!F45</f>
        <v>4.1685311127725209</v>
      </c>
      <c r="C45" s="21">
        <f>Consumption!D45</f>
        <v>3.7173155115859253</v>
      </c>
      <c r="D45" s="21">
        <f>Total_Public_Debt!G45</f>
        <v>3.6988883630368901</v>
      </c>
      <c r="E45" s="21">
        <f>Inflation!C49</f>
        <v>8.7571022727270988E-3</v>
      </c>
      <c r="F45" s="21">
        <f>Federal_Funds_Effective_Rate!C45</f>
        <v>3.04E-2</v>
      </c>
    </row>
    <row r="46" spans="1:6" x14ac:dyDescent="0.2">
      <c r="A46" s="1">
        <v>33970</v>
      </c>
      <c r="B46" s="21">
        <f>GDP!F46</f>
        <v>4.1694318985605658</v>
      </c>
      <c r="C46" s="21">
        <f>Consumption!D46</f>
        <v>3.7203813104536105</v>
      </c>
      <c r="D46" s="21">
        <f>Total_Public_Debt!G46</f>
        <v>3.7052762439628628</v>
      </c>
      <c r="E46" s="21">
        <f>Inflation!C50</f>
        <v>7.2799983102519858E-3</v>
      </c>
      <c r="F46" s="21">
        <f>Federal_Funds_Effective_Rate!C46</f>
        <v>3.04E-2</v>
      </c>
    </row>
    <row r="47" spans="1:6" x14ac:dyDescent="0.2">
      <c r="A47" s="1">
        <v>34060</v>
      </c>
      <c r="B47" s="21">
        <f>GDP!F47</f>
        <v>4.172518360830562</v>
      </c>
      <c r="C47" s="21">
        <f>Consumption!D47</f>
        <v>3.7267199095421888</v>
      </c>
      <c r="D47" s="21">
        <f>Total_Public_Debt!G47</f>
        <v>3.7249060736180071</v>
      </c>
      <c r="E47" s="21">
        <f>Inflation!C51</f>
        <v>7.2203932423269305E-3</v>
      </c>
      <c r="F47" s="21">
        <f>Federal_Funds_Effective_Rate!C47</f>
        <v>0.03</v>
      </c>
    </row>
    <row r="48" spans="1:6" x14ac:dyDescent="0.2">
      <c r="A48" s="1">
        <v>34151</v>
      </c>
      <c r="B48" s="21">
        <f>GDP!F48</f>
        <v>4.1748835946961504</v>
      </c>
      <c r="C48" s="21">
        <f>Consumption!D48</f>
        <v>3.7353849573513989</v>
      </c>
      <c r="D48" s="21">
        <f>Total_Public_Debt!G48</f>
        <v>3.7301723215697238</v>
      </c>
      <c r="E48" s="21">
        <f>Inflation!C52</f>
        <v>4.6287300485773879E-3</v>
      </c>
      <c r="F48" s="21">
        <f>Federal_Funds_Effective_Rate!C48</f>
        <v>3.0600000000000002E-2</v>
      </c>
    </row>
    <row r="49" spans="1:6" x14ac:dyDescent="0.2">
      <c r="A49" s="1">
        <v>34243</v>
      </c>
      <c r="B49" s="21">
        <f>GDP!F49</f>
        <v>4.1853080119443842</v>
      </c>
      <c r="C49" s="21">
        <f>Consumption!D49</f>
        <v>3.7410387195542931</v>
      </c>
      <c r="D49" s="21">
        <f>Total_Public_Debt!G49</f>
        <v>3.7494137753050332</v>
      </c>
      <c r="E49" s="21">
        <f>Inflation!C53</f>
        <v>8.2891819268204568E-3</v>
      </c>
      <c r="F49" s="21">
        <f>Federal_Funds_Effective_Rate!C49</f>
        <v>2.9900000000000003E-2</v>
      </c>
    </row>
    <row r="50" spans="1:6" x14ac:dyDescent="0.2">
      <c r="A50" s="1">
        <v>34335</v>
      </c>
      <c r="B50" s="21">
        <f>GDP!F50</f>
        <v>4.1928429623581209</v>
      </c>
      <c r="C50" s="21">
        <f>Consumption!D50</f>
        <v>3.7502975306991493</v>
      </c>
      <c r="D50" s="21">
        <f>Total_Public_Debt!G50</f>
        <v>3.75134272367429</v>
      </c>
      <c r="E50" s="21">
        <f>Inflation!C54</f>
        <v>5.0216829831398573E-3</v>
      </c>
      <c r="F50" s="21">
        <f>Federal_Funds_Effective_Rate!C50</f>
        <v>3.2099999999999997E-2</v>
      </c>
    </row>
    <row r="51" spans="1:6" x14ac:dyDescent="0.2">
      <c r="A51" s="1">
        <v>34425</v>
      </c>
      <c r="B51" s="21">
        <f>GDP!F51</f>
        <v>4.2034318407892215</v>
      </c>
      <c r="C51" s="21">
        <f>Consumption!D51</f>
        <v>3.7551712463710771</v>
      </c>
      <c r="D51" s="21">
        <f>Total_Public_Debt!G51</f>
        <v>3.7588177880234479</v>
      </c>
      <c r="E51" s="21">
        <f>Inflation!C55</f>
        <v>5.6782549420586123E-3</v>
      </c>
      <c r="F51" s="21">
        <f>Federal_Funds_Effective_Rate!C51</f>
        <v>3.9399999999999998E-2</v>
      </c>
    </row>
    <row r="52" spans="1:6" x14ac:dyDescent="0.2">
      <c r="A52" s="1">
        <v>34516</v>
      </c>
      <c r="B52" s="21">
        <f>GDP!F52</f>
        <v>4.207209568767877</v>
      </c>
      <c r="C52" s="21">
        <f>Consumption!D52</f>
        <v>3.7607217387531175</v>
      </c>
      <c r="D52" s="21">
        <f>Total_Public_Debt!G52</f>
        <v>3.7611061706153093</v>
      </c>
      <c r="E52" s="21">
        <f>Inflation!C56</f>
        <v>9.265723600821639E-3</v>
      </c>
      <c r="F52" s="21">
        <f>Federal_Funds_Effective_Rate!C52</f>
        <v>4.4900000000000002E-2</v>
      </c>
    </row>
    <row r="53" spans="1:6" x14ac:dyDescent="0.2">
      <c r="A53" s="1">
        <v>34608</v>
      </c>
      <c r="B53" s="21">
        <f>GDP!F53</f>
        <v>4.2169892090031125</v>
      </c>
      <c r="C53" s="21">
        <f>Consumption!D53</f>
        <v>3.7698541907608298</v>
      </c>
      <c r="D53" s="21">
        <f>Total_Public_Debt!G53</f>
        <v>3.7767127971674292</v>
      </c>
      <c r="E53" s="21">
        <f>Inflation!C57</f>
        <v>5.8226997985224328E-3</v>
      </c>
      <c r="F53" s="21">
        <f>Federal_Funds_Effective_Rate!C53</f>
        <v>5.1699999999999996E-2</v>
      </c>
    </row>
    <row r="54" spans="1:6" x14ac:dyDescent="0.2">
      <c r="A54" s="1">
        <v>34700</v>
      </c>
      <c r="B54" s="21">
        <f>GDP!F54</f>
        <v>4.2190142954268044</v>
      </c>
      <c r="C54" s="21">
        <f>Consumption!D54</f>
        <v>3.7708352765937456</v>
      </c>
      <c r="D54" s="21">
        <f>Total_Public_Debt!G54</f>
        <v>3.7830288085476038</v>
      </c>
      <c r="E54" s="21">
        <f>Inflation!C58</f>
        <v>7.3447421661647378E-3</v>
      </c>
      <c r="F54" s="21">
        <f>Federal_Funds_Effective_Rate!C54</f>
        <v>5.8099999999999999E-2</v>
      </c>
    </row>
    <row r="55" spans="1:6" x14ac:dyDescent="0.2">
      <c r="A55" s="1">
        <v>34790</v>
      </c>
      <c r="B55" s="21">
        <f>GDP!F55</f>
        <v>4.2194254903879607</v>
      </c>
      <c r="C55" s="21">
        <f>Consumption!D55</f>
        <v>3.7769896582623921</v>
      </c>
      <c r="D55" s="21">
        <f>Total_Public_Debt!G55</f>
        <v>3.7934454789328163</v>
      </c>
      <c r="E55" s="21">
        <f>Inflation!C59</f>
        <v>8.1727614388832828E-3</v>
      </c>
      <c r="F55" s="21">
        <f>Federal_Funds_Effective_Rate!C55</f>
        <v>6.0199999999999997E-2</v>
      </c>
    </row>
    <row r="56" spans="1:6" x14ac:dyDescent="0.2">
      <c r="A56" s="1">
        <v>34881</v>
      </c>
      <c r="B56" s="21">
        <f>GDP!F56</f>
        <v>4.2258052545332419</v>
      </c>
      <c r="C56" s="21">
        <f>Consumption!D56</f>
        <v>3.7839245522412193</v>
      </c>
      <c r="D56" s="21">
        <f>Total_Public_Debt!G56</f>
        <v>3.7909998166967296</v>
      </c>
      <c r="E56" s="21">
        <f>Inflation!C60</f>
        <v>5.0427350427350156E-3</v>
      </c>
      <c r="F56" s="21">
        <f>Federal_Funds_Effective_Rate!C56</f>
        <v>5.7999999999999996E-2</v>
      </c>
    </row>
    <row r="57" spans="1:6" x14ac:dyDescent="0.2">
      <c r="A57" s="1">
        <v>34973</v>
      </c>
      <c r="B57" s="21">
        <f>GDP!F57</f>
        <v>4.229912829464948</v>
      </c>
      <c r="C57" s="21">
        <f>Consumption!D57</f>
        <v>3.788209095833706</v>
      </c>
      <c r="D57" s="21">
        <f>Total_Public_Debt!G57</f>
        <v>3.7864782408237718</v>
      </c>
      <c r="E57" s="21">
        <f>Inflation!C61</f>
        <v>5.4491813144759722E-3</v>
      </c>
      <c r="F57" s="21">
        <f>Federal_Funds_Effective_Rate!C57</f>
        <v>5.7200000000000001E-2</v>
      </c>
    </row>
    <row r="58" spans="1:6" x14ac:dyDescent="0.2">
      <c r="A58" s="1">
        <v>35065</v>
      </c>
      <c r="B58" s="21">
        <f>GDP!F58</f>
        <v>4.2354361404914549</v>
      </c>
      <c r="C58" s="21">
        <f>Consumption!D58</f>
        <v>3.7954464265007535</v>
      </c>
      <c r="D58" s="21">
        <f>Total_Public_Debt!G58</f>
        <v>3.8052946839448856</v>
      </c>
      <c r="E58" s="21">
        <f>Inflation!C62</f>
        <v>8.893949251789322E-3</v>
      </c>
      <c r="F58" s="21">
        <f>Federal_Funds_Effective_Rate!C58</f>
        <v>5.3600000000000002E-2</v>
      </c>
    </row>
    <row r="59" spans="1:6" x14ac:dyDescent="0.2">
      <c r="A59" s="1">
        <v>35156</v>
      </c>
      <c r="B59" s="21">
        <f>GDP!F59</f>
        <v>4.2487828931697909</v>
      </c>
      <c r="C59" s="21">
        <f>Consumption!D59</f>
        <v>3.8029579961808091</v>
      </c>
      <c r="D59" s="21">
        <f>Total_Public_Debt!G59</f>
        <v>3.8063898389018864</v>
      </c>
      <c r="E59" s="21">
        <f>Inflation!C63</f>
        <v>8.5962841868353571E-3</v>
      </c>
      <c r="F59" s="21">
        <f>Federal_Funds_Effective_Rate!C59</f>
        <v>5.2400000000000002E-2</v>
      </c>
    </row>
    <row r="60" spans="1:6" x14ac:dyDescent="0.2">
      <c r="A60" s="1">
        <v>35247</v>
      </c>
      <c r="B60" s="21">
        <f>GDP!F60</f>
        <v>4.2554032868554987</v>
      </c>
      <c r="C60" s="21">
        <f>Consumption!D60</f>
        <v>3.8066909507960522</v>
      </c>
      <c r="D60" s="21">
        <f>Total_Public_Debt!G60</f>
        <v>3.8130878175066787</v>
      </c>
      <c r="E60" s="21">
        <f>Inflation!C64</f>
        <v>5.7544757033248439E-3</v>
      </c>
      <c r="F60" s="21">
        <f>Federal_Funds_Effective_Rate!C60</f>
        <v>5.3099999999999994E-2</v>
      </c>
    </row>
    <row r="61" spans="1:6" x14ac:dyDescent="0.2">
      <c r="A61" s="1">
        <v>35339</v>
      </c>
      <c r="B61" s="21">
        <f>GDP!F61</f>
        <v>4.2623077057804402</v>
      </c>
      <c r="C61" s="21">
        <f>Consumption!D61</f>
        <v>3.8111853174853105</v>
      </c>
      <c r="D61" s="21">
        <f>Total_Public_Debt!G61</f>
        <v>3.8229802088770675</v>
      </c>
      <c r="E61" s="21">
        <f>Inflation!C65</f>
        <v>8.690400508582264E-3</v>
      </c>
      <c r="F61" s="21">
        <f>Federal_Funds_Effective_Rate!C61</f>
        <v>5.28E-2</v>
      </c>
    </row>
    <row r="62" spans="1:6" x14ac:dyDescent="0.2">
      <c r="A62" s="1">
        <v>35431</v>
      </c>
      <c r="B62" s="21">
        <f>GDP!F62</f>
        <v>4.263673339400806</v>
      </c>
      <c r="C62" s="21">
        <f>Consumption!D62</f>
        <v>3.8166152083762781</v>
      </c>
      <c r="D62" s="21">
        <f>Total_Public_Debt!G62</f>
        <v>3.8227511669925418</v>
      </c>
      <c r="E62" s="21">
        <f>Inflation!C66</f>
        <v>6.0882225037342877E-3</v>
      </c>
      <c r="F62" s="21">
        <f>Federal_Funds_Effective_Rate!C62</f>
        <v>5.28E-2</v>
      </c>
    </row>
    <row r="63" spans="1:6" x14ac:dyDescent="0.2">
      <c r="A63" s="1">
        <v>35521</v>
      </c>
      <c r="B63" s="21">
        <f>GDP!F63</f>
        <v>4.2776243731057013</v>
      </c>
      <c r="C63" s="21">
        <f>Consumption!D63</f>
        <v>3.8185383764954142</v>
      </c>
      <c r="D63" s="21">
        <f>Total_Public_Debt!G63</f>
        <v>3.8173186431971806</v>
      </c>
      <c r="E63" s="21">
        <f>Inflation!C67</f>
        <v>2.2990233848890281E-3</v>
      </c>
      <c r="F63" s="21">
        <f>Federal_Funds_Effective_Rate!C63</f>
        <v>5.5199999999999999E-2</v>
      </c>
    </row>
    <row r="64" spans="1:6" x14ac:dyDescent="0.2">
      <c r="A64" s="1">
        <v>35612</v>
      </c>
      <c r="B64" s="21">
        <f>GDP!F64</f>
        <v>4.2874634339781119</v>
      </c>
      <c r="C64" s="21">
        <f>Consumption!D64</f>
        <v>3.832866278991832</v>
      </c>
      <c r="D64" s="21">
        <f>Total_Public_Debt!G64</f>
        <v>3.8172532225552458</v>
      </c>
      <c r="E64" s="21">
        <f>Inflation!C68</f>
        <v>5.0000000000000712E-3</v>
      </c>
      <c r="F64" s="21">
        <f>Federal_Funds_Effective_Rate!C64</f>
        <v>5.5300000000000002E-2</v>
      </c>
    </row>
    <row r="65" spans="1:6" x14ac:dyDescent="0.2">
      <c r="A65" s="1">
        <v>35704</v>
      </c>
      <c r="B65" s="21">
        <f>GDP!F65</f>
        <v>4.2931637825339308</v>
      </c>
      <c r="C65" s="21">
        <f>Consumption!D65</f>
        <v>3.8419384496472953</v>
      </c>
      <c r="D65" s="21">
        <f>Total_Public_Debt!G65</f>
        <v>3.827475969592347</v>
      </c>
      <c r="E65" s="21">
        <f>Inflation!C69</f>
        <v>5.3917910447760578E-3</v>
      </c>
      <c r="F65" s="21">
        <f>Federal_Funds_Effective_Rate!C65</f>
        <v>5.5099999999999996E-2</v>
      </c>
    </row>
    <row r="66" spans="1:6" x14ac:dyDescent="0.2">
      <c r="A66" s="1">
        <v>35796</v>
      </c>
      <c r="B66" s="21">
        <f>GDP!F66</f>
        <v>4.300618790651475</v>
      </c>
      <c r="C66" s="21">
        <f>Consumption!D66</f>
        <v>3.8494695026860981</v>
      </c>
      <c r="D66" s="21">
        <f>Total_Public_Debt!G66</f>
        <v>3.8307732274285868</v>
      </c>
      <c r="E66" s="21">
        <f>Inflation!C70</f>
        <v>2.0597895674441809E-3</v>
      </c>
      <c r="F66" s="21">
        <f>Federal_Funds_Effective_Rate!C66</f>
        <v>5.5199999999999999E-2</v>
      </c>
    </row>
    <row r="67" spans="1:6" x14ac:dyDescent="0.2">
      <c r="A67" s="1">
        <v>35886</v>
      </c>
      <c r="B67" s="21">
        <f>GDP!F67</f>
        <v>4.307224811824546</v>
      </c>
      <c r="C67" s="21">
        <f>Consumption!D67</f>
        <v>3.8643185666232349</v>
      </c>
      <c r="D67" s="21">
        <f>Total_Public_Debt!G67</f>
        <v>3.8267984790659231</v>
      </c>
      <c r="E67" s="21">
        <f>Inflation!C71</f>
        <v>3.2901234567900436E-3</v>
      </c>
      <c r="F67" s="21">
        <f>Federal_Funds_Effective_Rate!C67</f>
        <v>5.5E-2</v>
      </c>
    </row>
    <row r="68" spans="1:6" x14ac:dyDescent="0.2">
      <c r="A68" s="1">
        <v>35977</v>
      </c>
      <c r="B68" s="21">
        <f>GDP!F68</f>
        <v>4.3165460790417587</v>
      </c>
      <c r="C68" s="21">
        <f>Consumption!D68</f>
        <v>3.8740801428663443</v>
      </c>
      <c r="D68" s="21">
        <f>Total_Public_Debt!G68</f>
        <v>3.8154551487980881</v>
      </c>
      <c r="E68" s="21">
        <f>Inflation!C72</f>
        <v>5.1312656506678845E-3</v>
      </c>
      <c r="F68" s="21">
        <f>Federal_Funds_Effective_Rate!C68</f>
        <v>5.5300000000000002E-2</v>
      </c>
    </row>
    <row r="69" spans="1:6" x14ac:dyDescent="0.2">
      <c r="A69" s="1">
        <v>36069</v>
      </c>
      <c r="B69" s="21">
        <f>GDP!F69</f>
        <v>4.3299151772230982</v>
      </c>
      <c r="C69" s="21">
        <f>Consumption!D69</f>
        <v>3.8858291214336593</v>
      </c>
      <c r="D69" s="21">
        <f>Total_Public_Debt!G69</f>
        <v>3.8258492454867206</v>
      </c>
      <c r="E69" s="21">
        <f>Inflation!C73</f>
        <v>4.6888294453593417E-3</v>
      </c>
      <c r="F69" s="21">
        <f>Federal_Funds_Effective_Rate!C69</f>
        <v>4.8600000000000004E-2</v>
      </c>
    </row>
    <row r="70" spans="1:6" x14ac:dyDescent="0.2">
      <c r="A70" s="1">
        <v>36161</v>
      </c>
      <c r="B70" s="21">
        <f>GDP!F70</f>
        <v>4.3346464728447627</v>
      </c>
      <c r="C70" s="21">
        <f>Consumption!D70</f>
        <v>3.8914403757066065</v>
      </c>
      <c r="D70" s="21">
        <f>Total_Public_Debt!G70</f>
        <v>3.8246361342274047</v>
      </c>
      <c r="E70" s="21">
        <f>Inflation!C74</f>
        <v>3.655572005629546E-3</v>
      </c>
      <c r="F70" s="21">
        <f>Federal_Funds_Effective_Rate!C70</f>
        <v>4.7300000000000002E-2</v>
      </c>
    </row>
    <row r="71" spans="1:6" x14ac:dyDescent="0.2">
      <c r="A71" s="1">
        <v>36251</v>
      </c>
      <c r="B71" s="21">
        <f>GDP!F71</f>
        <v>4.340136178708522</v>
      </c>
      <c r="C71" s="21">
        <f>Consumption!D71</f>
        <v>3.9038031458080757</v>
      </c>
      <c r="D71" s="21">
        <f>Total_Public_Debt!G71</f>
        <v>3.8157569616975753</v>
      </c>
      <c r="E71" s="21">
        <f>Inflation!C75</f>
        <v>7.4909095323948986E-3</v>
      </c>
      <c r="F71" s="21">
        <f>Federal_Funds_Effective_Rate!C71</f>
        <v>4.7500000000000001E-2</v>
      </c>
    </row>
    <row r="72" spans="1:6" x14ac:dyDescent="0.2">
      <c r="A72" s="1">
        <v>36342</v>
      </c>
      <c r="B72" s="21">
        <f>GDP!F72</f>
        <v>4.350098088982798</v>
      </c>
      <c r="C72" s="21">
        <f>Consumption!D72</f>
        <v>3.9117767420091716</v>
      </c>
      <c r="D72" s="21">
        <f>Total_Public_Debt!G72</f>
        <v>3.8121167588945717</v>
      </c>
      <c r="E72" s="21">
        <f>Inflation!C76</f>
        <v>7.4291877300907746E-3</v>
      </c>
      <c r="F72" s="21">
        <f>Federal_Funds_Effective_Rate!C72</f>
        <v>5.0900000000000001E-2</v>
      </c>
    </row>
    <row r="73" spans="1:6" x14ac:dyDescent="0.2">
      <c r="A73" s="1">
        <v>36434</v>
      </c>
      <c r="B73" s="21">
        <f>GDP!F73</f>
        <v>4.3636453833005362</v>
      </c>
      <c r="C73" s="21">
        <f>Consumption!D73</f>
        <v>3.9235719689946214</v>
      </c>
      <c r="D73" s="21">
        <f>Total_Public_Debt!G73</f>
        <v>3.8248207119126887</v>
      </c>
      <c r="E73" s="21">
        <f>Inflation!C77</f>
        <v>7.3744019138756228E-3</v>
      </c>
      <c r="F73" s="21">
        <f>Federal_Funds_Effective_Rate!C73</f>
        <v>5.3099999999999994E-2</v>
      </c>
    </row>
    <row r="74" spans="1:6" x14ac:dyDescent="0.2">
      <c r="A74" s="1">
        <v>36526</v>
      </c>
      <c r="B74" s="21">
        <f>GDP!F74</f>
        <v>4.3546932965327345</v>
      </c>
      <c r="C74" s="21">
        <f>Consumption!D74</f>
        <v>3.9260026303227873</v>
      </c>
      <c r="D74" s="21">
        <f>Total_Public_Debt!G74</f>
        <v>3.8051501033528137</v>
      </c>
      <c r="E74" s="21">
        <f>Inflation!C78</f>
        <v>9.8971104237293266E-3</v>
      </c>
      <c r="F74" s="21">
        <f>Federal_Funds_Effective_Rate!C74</f>
        <v>5.6799999999999996E-2</v>
      </c>
    </row>
    <row r="75" spans="1:6" x14ac:dyDescent="0.2">
      <c r="A75" s="1">
        <v>36617</v>
      </c>
      <c r="B75" s="21">
        <f>GDP!F75</f>
        <v>4.3699024729365261</v>
      </c>
      <c r="C75" s="21">
        <f>Consumption!D75</f>
        <v>3.9324643946615931</v>
      </c>
      <c r="D75" s="21">
        <f>Total_Public_Debt!G75</f>
        <v>3.780843340314413</v>
      </c>
      <c r="E75" s="21">
        <f>Inflation!C79</f>
        <v>7.836566725455605E-3</v>
      </c>
      <c r="F75" s="21">
        <f>Federal_Funds_Effective_Rate!C75</f>
        <v>6.2699999999999992E-2</v>
      </c>
    </row>
    <row r="76" spans="1:6" x14ac:dyDescent="0.2">
      <c r="A76" s="1">
        <v>36708</v>
      </c>
      <c r="B76" s="21">
        <f>GDP!F76</f>
        <v>4.3670874789603067</v>
      </c>
      <c r="C76" s="21">
        <f>Consumption!D76</f>
        <v>3.9381635763415659</v>
      </c>
      <c r="D76" s="21">
        <f>Total_Public_Debt!G76</f>
        <v>3.7691074280927812</v>
      </c>
      <c r="E76" s="21">
        <f>Inflation!C80</f>
        <v>9.1405972012390101E-3</v>
      </c>
      <c r="F76" s="21">
        <f>Federal_Funds_Effective_Rate!C76</f>
        <v>6.5199999999999994E-2</v>
      </c>
    </row>
    <row r="77" spans="1:6" x14ac:dyDescent="0.2">
      <c r="A77" s="1">
        <v>36800</v>
      </c>
      <c r="B77" s="21">
        <f>GDP!F77</f>
        <v>4.3705248959138991</v>
      </c>
      <c r="C77" s="21">
        <f>Consumption!D77</f>
        <v>3.9443423257245058</v>
      </c>
      <c r="D77" s="21">
        <f>Total_Public_Debt!G77</f>
        <v>3.7591033944377243</v>
      </c>
      <c r="E77" s="21">
        <f>Inflation!C81</f>
        <v>7.1271676300578273E-3</v>
      </c>
      <c r="F77" s="21">
        <f>Federal_Funds_Effective_Rate!C77</f>
        <v>6.4699999999999994E-2</v>
      </c>
    </row>
    <row r="78" spans="1:6" x14ac:dyDescent="0.2">
      <c r="A78" s="1">
        <v>36892</v>
      </c>
      <c r="B78" s="21">
        <f>GDP!F78</f>
        <v>4.3641731586026484</v>
      </c>
      <c r="C78" s="21">
        <f>Consumption!D78</f>
        <v>3.9449031735818822</v>
      </c>
      <c r="D78" s="21">
        <f>Total_Public_Debt!G78</f>
        <v>3.7689571217108986</v>
      </c>
      <c r="E78" s="21">
        <f>Inflation!C82</f>
        <v>9.5676479197396684E-3</v>
      </c>
      <c r="F78" s="21">
        <f>Federal_Funds_Effective_Rate!C78</f>
        <v>5.5899999999999998E-2</v>
      </c>
    </row>
    <row r="79" spans="1:6" x14ac:dyDescent="0.2">
      <c r="A79" s="1">
        <v>36982</v>
      </c>
      <c r="B79" s="21">
        <f>GDP!F79</f>
        <v>4.3671319844745273</v>
      </c>
      <c r="C79" s="21">
        <f>Consumption!D79</f>
        <v>3.9436418208449613</v>
      </c>
      <c r="D79" s="21">
        <f>Total_Public_Debt!G79</f>
        <v>3.751531857193827</v>
      </c>
      <c r="E79" s="21">
        <f>Inflation!C83</f>
        <v>7.009664582148971E-3</v>
      </c>
      <c r="F79" s="21">
        <f>Federal_Funds_Effective_Rate!C79</f>
        <v>4.3299999999999998E-2</v>
      </c>
    </row>
    <row r="80" spans="1:6" x14ac:dyDescent="0.2">
      <c r="A80" s="1">
        <v>37073</v>
      </c>
      <c r="B80" s="21">
        <f>GDP!F80</f>
        <v>4.3589911551045581</v>
      </c>
      <c r="C80" s="21">
        <f>Consumption!D80</f>
        <v>3.9429913262515734</v>
      </c>
      <c r="D80" s="21">
        <f>Total_Public_Debt!G80</f>
        <v>3.7574679506497062</v>
      </c>
      <c r="E80" s="21">
        <f>Inflation!C84</f>
        <v>2.8227377168568248E-3</v>
      </c>
      <c r="F80" s="21">
        <f>Federal_Funds_Effective_Rate!C80</f>
        <v>3.5000000000000003E-2</v>
      </c>
    </row>
    <row r="81" spans="1:6" x14ac:dyDescent="0.2">
      <c r="A81" s="1">
        <v>37165</v>
      </c>
      <c r="B81" s="21">
        <f>GDP!F81</f>
        <v>4.3580522509844597</v>
      </c>
      <c r="C81" s="21">
        <f>Consumption!D81</f>
        <v>3.9553174811903458</v>
      </c>
      <c r="D81" s="21">
        <f>Total_Public_Debt!G81</f>
        <v>3.7737981342580076</v>
      </c>
      <c r="E81" s="21">
        <f>Inflation!C85</f>
        <v>-7.4873475086278886E-4</v>
      </c>
      <c r="F81" s="21">
        <f>Federal_Funds_Effective_Rate!C81</f>
        <v>2.1299999999999999E-2</v>
      </c>
    </row>
    <row r="82" spans="1:6" x14ac:dyDescent="0.2">
      <c r="A82" s="1">
        <v>37257</v>
      </c>
      <c r="B82" s="21">
        <f>GDP!F82</f>
        <v>4.3644202563210799</v>
      </c>
      <c r="C82" s="21">
        <f>Consumption!D82</f>
        <v>3.955571403555008</v>
      </c>
      <c r="D82" s="21">
        <f>Total_Public_Debt!G82</f>
        <v>3.7791673657634539</v>
      </c>
      <c r="E82" s="21">
        <f>Inflation!C86</f>
        <v>3.1943661971831397E-3</v>
      </c>
      <c r="F82" s="21">
        <f>Federal_Funds_Effective_Rate!C82</f>
        <v>1.7299999999999999E-2</v>
      </c>
    </row>
    <row r="83" spans="1:6" x14ac:dyDescent="0.2">
      <c r="A83" s="1">
        <v>37347</v>
      </c>
      <c r="B83" s="21">
        <f>GDP!F83</f>
        <v>4.3670874315378958</v>
      </c>
      <c r="C83" s="21">
        <f>Consumption!D83</f>
        <v>3.9571756084665339</v>
      </c>
      <c r="D83" s="21">
        <f>Total_Public_Debt!G83</f>
        <v>3.7920943277132784</v>
      </c>
      <c r="E83" s="21">
        <f>Inflation!C87</f>
        <v>7.8622091684590941E-3</v>
      </c>
      <c r="F83" s="21">
        <f>Federal_Funds_Effective_Rate!C83</f>
        <v>1.7500000000000002E-2</v>
      </c>
    </row>
    <row r="84" spans="1:6" x14ac:dyDescent="0.2">
      <c r="A84" s="1">
        <v>37438</v>
      </c>
      <c r="B84" s="21">
        <f>GDP!F84</f>
        <v>4.3678455790173354</v>
      </c>
      <c r="C84" s="21">
        <f>Consumption!D84</f>
        <v>3.960859394210118</v>
      </c>
      <c r="D84" s="21">
        <f>Total_Public_Debt!G84</f>
        <v>3.8004954155362287</v>
      </c>
      <c r="E84" s="21">
        <f>Inflation!C88</f>
        <v>5.3826051586084332E-3</v>
      </c>
      <c r="F84" s="21">
        <f>Federal_Funds_Effective_Rate!C84</f>
        <v>1.7399999999999999E-2</v>
      </c>
    </row>
    <row r="85" spans="1:6" x14ac:dyDescent="0.2">
      <c r="A85" s="1">
        <v>37530</v>
      </c>
      <c r="B85" s="21">
        <f>GDP!F85</f>
        <v>4.3656626481768281</v>
      </c>
      <c r="C85" s="21">
        <f>Consumption!D85</f>
        <v>3.9629881111644232</v>
      </c>
      <c r="D85" s="21">
        <f>Total_Public_Debt!G85</f>
        <v>3.8193874062426296</v>
      </c>
      <c r="E85" s="21">
        <f>Inflation!C89</f>
        <v>5.9135523989514516E-3</v>
      </c>
      <c r="F85" s="21">
        <f>Federal_Funds_Effective_Rate!C85</f>
        <v>1.44E-2</v>
      </c>
    </row>
    <row r="86" spans="1:6" x14ac:dyDescent="0.2">
      <c r="A86" s="1">
        <v>37622</v>
      </c>
      <c r="B86" s="21">
        <f>GDP!F86</f>
        <v>4.3647200472571503</v>
      </c>
      <c r="C86" s="21">
        <f>Consumption!D86</f>
        <v>3.9616995121863652</v>
      </c>
      <c r="D86" s="21">
        <f>Total_Public_Debt!G86</f>
        <v>3.816868286048821</v>
      </c>
      <c r="E86" s="21">
        <f>Inflation!C90</f>
        <v>1.0286501377410414E-2</v>
      </c>
      <c r="F86" s="21">
        <f>Federal_Funds_Effective_Rate!C86</f>
        <v>1.2500000000000001E-2</v>
      </c>
    </row>
    <row r="87" spans="1:6" x14ac:dyDescent="0.2">
      <c r="A87" s="1">
        <v>37712</v>
      </c>
      <c r="B87" s="21">
        <f>GDP!F87</f>
        <v>4.3691400330665253</v>
      </c>
      <c r="C87" s="21">
        <f>Consumption!D87</f>
        <v>3.9686855977235989</v>
      </c>
      <c r="D87" s="21">
        <f>Total_Public_Debt!G87</f>
        <v>3.8408462111972943</v>
      </c>
      <c r="E87" s="21">
        <f>Inflation!C91</f>
        <v>-1.6360631956676118E-3</v>
      </c>
      <c r="F87" s="21">
        <f>Federal_Funds_Effective_Rate!C87</f>
        <v>1.2500000000000001E-2</v>
      </c>
    </row>
    <row r="88" spans="1:6" x14ac:dyDescent="0.2">
      <c r="A88" s="1">
        <v>37803</v>
      </c>
      <c r="B88" s="21">
        <f>GDP!F88</f>
        <v>4.3819820705201105</v>
      </c>
      <c r="C88" s="21">
        <f>Consumption!D88</f>
        <v>3.979077759440985</v>
      </c>
      <c r="D88" s="21">
        <f>Total_Public_Debt!G88</f>
        <v>3.8483211281229175</v>
      </c>
      <c r="E88" s="21">
        <f>Inflation!C92</f>
        <v>7.4617489771503622E-3</v>
      </c>
      <c r="F88" s="21">
        <f>Federal_Funds_Effective_Rate!C88</f>
        <v>1.0200000000000001E-2</v>
      </c>
    </row>
    <row r="89" spans="1:6" x14ac:dyDescent="0.2">
      <c r="A89" s="1">
        <v>37895</v>
      </c>
      <c r="B89" s="21">
        <f>GDP!F89</f>
        <v>4.390763722995545</v>
      </c>
      <c r="C89" s="21">
        <f>Consumption!D89</f>
        <v>3.9831762940984698</v>
      </c>
      <c r="D89" s="21">
        <f>Total_Public_Debt!G89</f>
        <v>3.8706392647513495</v>
      </c>
      <c r="E89" s="21">
        <f>Inflation!C93</f>
        <v>3.7954162216090239E-3</v>
      </c>
      <c r="F89" s="21">
        <f>Federal_Funds_Effective_Rate!C89</f>
        <v>0.01</v>
      </c>
    </row>
    <row r="90" spans="1:6" x14ac:dyDescent="0.2">
      <c r="A90" s="1">
        <v>37987</v>
      </c>
      <c r="B90" s="21">
        <f>GDP!F90</f>
        <v>4.3966894557421252</v>
      </c>
      <c r="C90" s="21">
        <f>Consumption!D90</f>
        <v>3.9927296889028185</v>
      </c>
      <c r="D90" s="21">
        <f>Total_Public_Debt!G90</f>
        <v>3.8826436708866061</v>
      </c>
      <c r="E90" s="21">
        <f>Inflation!C94</f>
        <v>8.4641852073913289E-3</v>
      </c>
      <c r="F90" s="21">
        <f>Federal_Funds_Effective_Rate!C90</f>
        <v>0.01</v>
      </c>
    </row>
    <row r="91" spans="1:6" x14ac:dyDescent="0.2">
      <c r="A91" s="1">
        <v>38078</v>
      </c>
      <c r="B91" s="21">
        <f>GDP!F91</f>
        <v>4.4007706542554308</v>
      </c>
      <c r="C91" s="21">
        <f>Consumption!D91</f>
        <v>3.9945327201379093</v>
      </c>
      <c r="D91" s="21">
        <f>Total_Public_Debt!G91</f>
        <v>3.8908590711295483</v>
      </c>
      <c r="E91" s="21">
        <f>Inflation!C95</f>
        <v>7.8575254418854473E-3</v>
      </c>
      <c r="F91" s="21">
        <f>Federal_Funds_Effective_Rate!C91</f>
        <v>1.01E-2</v>
      </c>
    </row>
    <row r="92" spans="1:6" x14ac:dyDescent="0.2">
      <c r="A92" s="1">
        <v>38169</v>
      </c>
      <c r="B92" s="21">
        <f>GDP!F92</f>
        <v>4.4075078724404158</v>
      </c>
      <c r="C92" s="21">
        <f>Consumption!D92</f>
        <v>4.0035042249285473</v>
      </c>
      <c r="D92" s="21">
        <f>Total_Public_Debt!G92</f>
        <v>3.8961225502964796</v>
      </c>
      <c r="E92" s="21">
        <f>Inflation!C96</f>
        <v>6.3773137691518099E-3</v>
      </c>
      <c r="F92" s="21">
        <f>Federal_Funds_Effective_Rate!C92</f>
        <v>1.43E-2</v>
      </c>
    </row>
    <row r="93" spans="1:6" x14ac:dyDescent="0.2">
      <c r="A93" s="1">
        <v>38261</v>
      </c>
      <c r="B93" s="21">
        <f>GDP!F93</f>
        <v>4.4143668232281001</v>
      </c>
      <c r="C93" s="21">
        <f>Consumption!D93</f>
        <v>4.0114610989300976</v>
      </c>
      <c r="D93" s="21">
        <f>Total_Public_Debt!G93</f>
        <v>3.9141040438820305</v>
      </c>
      <c r="E93" s="21">
        <f>Inflation!C97</f>
        <v>1.0735767055506057E-2</v>
      </c>
      <c r="F93" s="21">
        <f>Federal_Funds_Effective_Rate!C93</f>
        <v>1.95E-2</v>
      </c>
    </row>
    <row r="94" spans="1:6" x14ac:dyDescent="0.2">
      <c r="A94" s="1">
        <v>38353</v>
      </c>
      <c r="B94" s="21">
        <f>GDP!F94</f>
        <v>4.4224091844973321</v>
      </c>
      <c r="C94" s="21">
        <f>Consumption!D94</f>
        <v>4.0148166124092022</v>
      </c>
      <c r="D94" s="21">
        <f>Total_Public_Debt!G94</f>
        <v>3.9266858824466886</v>
      </c>
      <c r="E94" s="21">
        <f>Inflation!C98</f>
        <v>5.0522466039706606E-3</v>
      </c>
      <c r="F94" s="21">
        <f>Federal_Funds_Effective_Rate!C94</f>
        <v>2.4700000000000003E-2</v>
      </c>
    </row>
    <row r="95" spans="1:6" x14ac:dyDescent="0.2">
      <c r="A95" s="1">
        <v>38443</v>
      </c>
      <c r="B95" s="21">
        <f>GDP!F95</f>
        <v>4.4248596943669609</v>
      </c>
      <c r="C95" s="21">
        <f>Consumption!D95</f>
        <v>4.0233644146523915</v>
      </c>
      <c r="D95" s="21">
        <f>Total_Public_Debt!G95</f>
        <v>3.9246694400641728</v>
      </c>
      <c r="E95" s="21">
        <f>Inflation!C99</f>
        <v>6.7579158587492208E-3</v>
      </c>
      <c r="F95" s="21">
        <f>Federal_Funds_Effective_Rate!C95</f>
        <v>2.9399999999999999E-2</v>
      </c>
    </row>
    <row r="96" spans="1:6" x14ac:dyDescent="0.2">
      <c r="A96" s="1">
        <v>38534</v>
      </c>
      <c r="B96" s="21">
        <f>GDP!F96</f>
        <v>4.4297828957225294</v>
      </c>
      <c r="C96" s="21">
        <f>Consumption!D96</f>
        <v>4.0287469958621189</v>
      </c>
      <c r="D96" s="21">
        <f>Total_Public_Debt!G96</f>
        <v>3.9249155549218542</v>
      </c>
      <c r="E96" s="21">
        <f>Inflation!C100</f>
        <v>1.5144552246897989E-2</v>
      </c>
      <c r="F96" s="21">
        <f>Federal_Funds_Effective_Rate!C96</f>
        <v>3.4599999999999999E-2</v>
      </c>
    </row>
    <row r="97" spans="1:6" x14ac:dyDescent="0.2">
      <c r="A97" s="1">
        <v>38626</v>
      </c>
      <c r="B97" s="21">
        <f>GDP!F97</f>
        <v>4.4315809037026561</v>
      </c>
      <c r="C97" s="21">
        <f>Consumption!D97</f>
        <v>4.0268503125693602</v>
      </c>
      <c r="D97" s="21">
        <f>Total_Public_Debt!G97</f>
        <v>3.9425181311607851</v>
      </c>
      <c r="E97" s="21">
        <f>Inflation!C101</f>
        <v>9.3234994913529937E-3</v>
      </c>
      <c r="F97" s="21">
        <f>Federal_Funds_Effective_Rate!C97</f>
        <v>3.9800000000000002E-2</v>
      </c>
    </row>
    <row r="98" spans="1:6" x14ac:dyDescent="0.2">
      <c r="A98" s="1">
        <v>38718</v>
      </c>
      <c r="B98" s="21">
        <f>GDP!F98</f>
        <v>4.4421922250220485</v>
      </c>
      <c r="C98" s="21">
        <f>Consumption!D98</f>
        <v>4.0349412048625259</v>
      </c>
      <c r="D98" s="21">
        <f>Total_Public_Debt!G98</f>
        <v>3.9569761861640549</v>
      </c>
      <c r="E98" s="21">
        <f>Inflation!C102</f>
        <v>5.2108268281990406E-3</v>
      </c>
      <c r="F98" s="21">
        <f>Federal_Funds_Effective_Rate!C98</f>
        <v>4.4600000000000001E-2</v>
      </c>
    </row>
    <row r="99" spans="1:6" x14ac:dyDescent="0.2">
      <c r="A99" s="1">
        <v>38808</v>
      </c>
      <c r="B99" s="21">
        <f>GDP!F99</f>
        <v>4.442268179747483</v>
      </c>
      <c r="C99" s="21">
        <f>Consumption!D99</f>
        <v>4.0376011410869461</v>
      </c>
      <c r="D99" s="21">
        <f>Total_Public_Debt!G99</f>
        <v>3.9515951848182755</v>
      </c>
      <c r="E99" s="21">
        <f>Inflation!C103</f>
        <v>9.0240490908269685E-3</v>
      </c>
      <c r="F99" s="21">
        <f>Federal_Funds_Effective_Rate!C99</f>
        <v>4.9100000000000005E-2</v>
      </c>
    </row>
    <row r="100" spans="1:6" x14ac:dyDescent="0.2">
      <c r="A100" s="1">
        <v>38899</v>
      </c>
      <c r="B100" s="21">
        <f>GDP!F100</f>
        <v>4.4410088785968833</v>
      </c>
      <c r="C100" s="21">
        <f>Consumption!D100</f>
        <v>4.0412507305431458</v>
      </c>
      <c r="D100" s="21">
        <f>Total_Public_Debt!G100</f>
        <v>3.9521533876104784</v>
      </c>
      <c r="E100" s="21">
        <f>Inflation!C104</f>
        <v>9.4401963560842347E-3</v>
      </c>
      <c r="F100" s="21">
        <f>Federal_Funds_Effective_Rate!C100</f>
        <v>5.2499999999999998E-2</v>
      </c>
    </row>
    <row r="101" spans="1:6" x14ac:dyDescent="0.2">
      <c r="A101" s="1">
        <v>38991</v>
      </c>
      <c r="B101" s="21">
        <f>GDP!F101</f>
        <v>4.4474731546870396</v>
      </c>
      <c r="C101" s="21">
        <f>Consumption!D101</f>
        <v>4.0486405606589102</v>
      </c>
      <c r="D101" s="21">
        <f>Total_Public_Debt!G101</f>
        <v>3.9666414304026825</v>
      </c>
      <c r="E101" s="21">
        <f>Inflation!C105</f>
        <v>-4.1049973666983479E-3</v>
      </c>
      <c r="F101" s="21">
        <f>Federal_Funds_Effective_Rate!C101</f>
        <v>5.2499999999999998E-2</v>
      </c>
    </row>
    <row r="102" spans="1:6" x14ac:dyDescent="0.2">
      <c r="A102" s="1">
        <v>39083</v>
      </c>
      <c r="B102" s="21">
        <f>GDP!F102</f>
        <v>4.4447941539893554</v>
      </c>
      <c r="C102" s="21">
        <f>Consumption!D102</f>
        <v>4.0491089480122495</v>
      </c>
      <c r="D102" s="21">
        <f>Total_Public_Debt!G102</f>
        <v>3.9708302184374422</v>
      </c>
      <c r="E102" s="21">
        <f>Inflation!C106</f>
        <v>9.8056174721869831E-3</v>
      </c>
      <c r="F102" s="21">
        <f>Federal_Funds_Effective_Rate!C102</f>
        <v>5.2600000000000001E-2</v>
      </c>
    </row>
    <row r="103" spans="1:6" x14ac:dyDescent="0.2">
      <c r="A103" s="1">
        <v>39173</v>
      </c>
      <c r="B103" s="21">
        <f>GDP!F103</f>
        <v>4.4487104428180766</v>
      </c>
      <c r="C103" s="21">
        <f>Consumption!D103</f>
        <v>4.0495454712522188</v>
      </c>
      <c r="D103" s="21">
        <f>Total_Public_Debt!G103</f>
        <v>3.9637505313504078</v>
      </c>
      <c r="E103" s="21">
        <f>Inflation!C107</f>
        <v>1.132553825672848E-2</v>
      </c>
      <c r="F103" s="21">
        <f>Federal_Funds_Effective_Rate!C103</f>
        <v>5.2499999999999998E-2</v>
      </c>
    </row>
    <row r="104" spans="1:6" x14ac:dyDescent="0.2">
      <c r="A104" s="1">
        <v>39264</v>
      </c>
      <c r="B104" s="21">
        <f>GDP!F104</f>
        <v>4.4518442274104535</v>
      </c>
      <c r="C104" s="21">
        <f>Consumption!D104</f>
        <v>4.0535910478309454</v>
      </c>
      <c r="D104" s="21">
        <f>Total_Public_Debt!G104</f>
        <v>3.9713580129632393</v>
      </c>
      <c r="E104" s="21">
        <f>Inflation!C108</f>
        <v>6.3301247150717591E-3</v>
      </c>
      <c r="F104" s="21">
        <f>Federal_Funds_Effective_Rate!C104</f>
        <v>5.0700000000000002E-2</v>
      </c>
    </row>
    <row r="105" spans="1:6" x14ac:dyDescent="0.2">
      <c r="A105" s="1">
        <v>39356</v>
      </c>
      <c r="B105" s="21">
        <f>GDP!F105</f>
        <v>4.4566669134485348</v>
      </c>
      <c r="C105" s="21">
        <f>Consumption!D105</f>
        <v>4.0560791413026163</v>
      </c>
      <c r="D105" s="21">
        <f>Total_Public_Debt!G105</f>
        <v>3.9901649272298125</v>
      </c>
      <c r="E105" s="21">
        <f>Inflation!C109</f>
        <v>1.2268020909978486E-2</v>
      </c>
      <c r="F105" s="21">
        <f>Federal_Funds_Effective_Rate!C105</f>
        <v>4.4999999999999998E-2</v>
      </c>
    </row>
    <row r="106" spans="1:6" x14ac:dyDescent="0.2">
      <c r="A106" s="1">
        <v>39448</v>
      </c>
      <c r="B106" s="21">
        <f>GDP!F106</f>
        <v>4.4524561573202543</v>
      </c>
      <c r="C106" s="21">
        <f>Consumption!D106</f>
        <v>4.0547700569460412</v>
      </c>
      <c r="D106" s="21">
        <f>Total_Public_Debt!G106</f>
        <v>4.0088650752985018</v>
      </c>
      <c r="E106" s="21">
        <f>Inflation!C110</f>
        <v>1.0831868497315792E-2</v>
      </c>
      <c r="F106" s="21">
        <f>Federal_Funds_Effective_Rate!C106</f>
        <v>3.1800000000000002E-2</v>
      </c>
    </row>
    <row r="107" spans="1:6" x14ac:dyDescent="0.2">
      <c r="A107" s="1">
        <v>39539</v>
      </c>
      <c r="B107" s="21">
        <f>GDP!F107</f>
        <v>4.4575109190476017</v>
      </c>
      <c r="C107" s="21">
        <f>Consumption!D107</f>
        <v>4.0566450480275478</v>
      </c>
      <c r="D107" s="21">
        <f>Total_Public_Debt!G107</f>
        <v>4.00890427664089</v>
      </c>
      <c r="E107" s="21">
        <f>Inflation!C111</f>
        <v>1.3009352822296379E-2</v>
      </c>
      <c r="F107" s="21">
        <f>Federal_Funds_Effective_Rate!C107</f>
        <v>2.0899999999999998E-2</v>
      </c>
    </row>
    <row r="108" spans="1:6" x14ac:dyDescent="0.2">
      <c r="A108" s="1">
        <v>39630</v>
      </c>
      <c r="B108" s="21">
        <f>GDP!F108</f>
        <v>4.4506682678334331</v>
      </c>
      <c r="C108" s="21">
        <f>Consumption!D108</f>
        <v>4.0473334105125174</v>
      </c>
      <c r="D108" s="21">
        <f>Total_Public_Debt!G108</f>
        <v>4.0544287797417704</v>
      </c>
      <c r="E108" s="21">
        <f>Inflation!C112</f>
        <v>1.5417235011923554E-2</v>
      </c>
      <c r="F108" s="21">
        <f>Federal_Funds_Effective_Rate!C108</f>
        <v>1.9400000000000001E-2</v>
      </c>
    </row>
    <row r="109" spans="1:6" x14ac:dyDescent="0.2">
      <c r="A109" s="1">
        <v>39722</v>
      </c>
      <c r="B109" s="21">
        <f>GDP!F109</f>
        <v>4.4260932192652023</v>
      </c>
      <c r="C109" s="21">
        <f>Consumption!D109</f>
        <v>4.0358464899133164</v>
      </c>
      <c r="D109" s="21">
        <f>Total_Public_Debt!G109</f>
        <v>4.1147351052887515</v>
      </c>
      <c r="E109" s="21">
        <f>Inflation!C113</f>
        <v>-2.2900379693047188E-2</v>
      </c>
      <c r="F109" s="21">
        <f>Federal_Funds_Effective_Rate!C109</f>
        <v>5.1000000000000004E-3</v>
      </c>
    </row>
    <row r="110" spans="1:6" x14ac:dyDescent="0.2">
      <c r="A110" s="1">
        <v>39814</v>
      </c>
      <c r="B110" s="21">
        <f>GDP!F110</f>
        <v>4.4141733368397729</v>
      </c>
      <c r="C110" s="21">
        <f>Consumption!D110</f>
        <v>4.032805434624664</v>
      </c>
      <c r="D110" s="21">
        <f>Total_Public_Debt!G110</f>
        <v>4.1541707420890326</v>
      </c>
      <c r="E110" s="21">
        <f>Inflation!C114</f>
        <v>-6.8786854275680676E-3</v>
      </c>
      <c r="F110" s="21">
        <f>Federal_Funds_Effective_Rate!C110</f>
        <v>1.8E-3</v>
      </c>
    </row>
    <row r="111" spans="1:6" x14ac:dyDescent="0.2">
      <c r="A111" s="1">
        <v>39904</v>
      </c>
      <c r="B111" s="21">
        <f>GDP!F111</f>
        <v>4.4097723553663304</v>
      </c>
      <c r="C111" s="21">
        <f>Consumption!D111</f>
        <v>4.0252624409719155</v>
      </c>
      <c r="D111" s="21">
        <f>Total_Public_Debt!G111</f>
        <v>4.1901243164132493</v>
      </c>
      <c r="E111" s="21">
        <f>Inflation!C115</f>
        <v>5.3159931819680905E-3</v>
      </c>
      <c r="F111" s="21">
        <f>Federal_Funds_Effective_Rate!C111</f>
        <v>1.8E-3</v>
      </c>
    </row>
    <row r="112" spans="1:6" x14ac:dyDescent="0.2">
      <c r="A112" s="1">
        <v>39995</v>
      </c>
      <c r="B112" s="21">
        <f>GDP!F112</f>
        <v>4.4120451476463574</v>
      </c>
      <c r="C112" s="21">
        <f>Consumption!D112</f>
        <v>4.0307318972164126</v>
      </c>
      <c r="D112" s="21">
        <f>Total_Public_Debt!G112</f>
        <v>4.2187920479406129</v>
      </c>
      <c r="E112" s="21">
        <f>Inflation!C116</f>
        <v>8.6039333604986685E-3</v>
      </c>
      <c r="F112" s="21">
        <f>Federal_Funds_Effective_Rate!C112</f>
        <v>1.6000000000000001E-3</v>
      </c>
    </row>
    <row r="113" spans="1:6" x14ac:dyDescent="0.2">
      <c r="A113" s="1">
        <v>40087</v>
      </c>
      <c r="B113" s="21">
        <f>GDP!F113</f>
        <v>4.4193935021890205</v>
      </c>
      <c r="C113" s="21">
        <f>Consumption!D113</f>
        <v>4.0262282284283772</v>
      </c>
      <c r="D113" s="21">
        <f>Total_Public_Debt!G113</f>
        <v>4.2453894342823002</v>
      </c>
      <c r="E113" s="21">
        <f>Inflation!C117</f>
        <v>7.8293335314659658E-3</v>
      </c>
      <c r="F113" s="21">
        <f>Federal_Funds_Effective_Rate!C113</f>
        <v>1.1999999999999999E-3</v>
      </c>
    </row>
    <row r="114" spans="1:6" x14ac:dyDescent="0.2">
      <c r="A114" s="1">
        <v>40179</v>
      </c>
      <c r="B114" s="21">
        <f>GDP!F114</f>
        <v>4.4256506497284285</v>
      </c>
      <c r="C114" s="21">
        <f>Consumption!D114</f>
        <v>4.0334246663872406</v>
      </c>
      <c r="D114" s="21">
        <f>Total_Public_Debt!G114</f>
        <v>4.2807607463997481</v>
      </c>
      <c r="E114" s="21">
        <f>Inflation!C118</f>
        <v>1.5850343270515325E-3</v>
      </c>
      <c r="F114" s="21">
        <f>Federal_Funds_Effective_Rate!C114</f>
        <v>1.2999999999999999E-3</v>
      </c>
    </row>
    <row r="115" spans="1:6" x14ac:dyDescent="0.2">
      <c r="A115" s="1">
        <v>40269</v>
      </c>
      <c r="B115" s="21">
        <f>GDP!F115</f>
        <v>4.4324046355457059</v>
      </c>
      <c r="C115" s="21">
        <f>Consumption!D115</f>
        <v>4.0394843340910196</v>
      </c>
      <c r="D115" s="21">
        <f>Total_Public_Debt!G115</f>
        <v>4.3060283516483588</v>
      </c>
      <c r="E115" s="21">
        <f>Inflation!C119</f>
        <v>-3.5422819656443817E-4</v>
      </c>
      <c r="F115" s="21">
        <f>Federal_Funds_Effective_Rate!C115</f>
        <v>1.9E-3</v>
      </c>
    </row>
    <row r="116" spans="1:6" x14ac:dyDescent="0.2">
      <c r="A116" s="1">
        <v>40360</v>
      </c>
      <c r="B116" s="21">
        <f>GDP!F116</f>
        <v>4.4388370761457807</v>
      </c>
      <c r="C116" s="21">
        <f>Consumption!D116</f>
        <v>4.0453439067634323</v>
      </c>
      <c r="D116" s="21">
        <f>Total_Public_Debt!G116</f>
        <v>4.3286345829787223</v>
      </c>
      <c r="E116" s="21">
        <f>Inflation!C120</f>
        <v>2.9314716724114943E-3</v>
      </c>
      <c r="F116" s="21">
        <f>Federal_Funds_Effective_Rate!C116</f>
        <v>1.9E-3</v>
      </c>
    </row>
    <row r="117" spans="1:6" x14ac:dyDescent="0.2">
      <c r="A117" s="1">
        <v>40452</v>
      </c>
      <c r="B117" s="21">
        <f>GDP!F117</f>
        <v>4.4405464270850006</v>
      </c>
      <c r="C117" s="21">
        <f>Consumption!D117</f>
        <v>4.0479269337020023</v>
      </c>
      <c r="D117" s="21">
        <f>Total_Public_Debt!G117</f>
        <v>4.3529313556947962</v>
      </c>
      <c r="E117" s="21">
        <f>Inflation!C121</f>
        <v>8.0987822001156989E-3</v>
      </c>
      <c r="F117" s="21">
        <f>Federal_Funds_Effective_Rate!C117</f>
        <v>1.9E-3</v>
      </c>
    </row>
    <row r="118" spans="1:6" x14ac:dyDescent="0.2">
      <c r="A118" s="1">
        <v>40544</v>
      </c>
      <c r="B118" s="21">
        <f>GDP!F118</f>
        <v>4.4412798835596767</v>
      </c>
      <c r="C118" s="21">
        <f>Consumption!D118</f>
        <v>4.0548404403209846</v>
      </c>
      <c r="D118" s="21">
        <f>Total_Public_Debt!G118</f>
        <v>4.3682375019724216</v>
      </c>
      <c r="E118" s="21">
        <f>Inflation!C122</f>
        <v>1.0673694463789088E-2</v>
      </c>
      <c r="F118" s="21">
        <f>Federal_Funds_Effective_Rate!C118</f>
        <v>1.6000000000000001E-3</v>
      </c>
    </row>
    <row r="119" spans="1:6" x14ac:dyDescent="0.2">
      <c r="A119" s="1">
        <v>40634</v>
      </c>
      <c r="B119" s="21">
        <f>GDP!F119</f>
        <v>4.4447945881231155</v>
      </c>
      <c r="C119" s="21">
        <f>Consumption!D119</f>
        <v>4.0526395739238277</v>
      </c>
      <c r="D119" s="21">
        <f>Total_Public_Debt!G119</f>
        <v>4.3635173278058348</v>
      </c>
      <c r="E119" s="21">
        <f>Inflation!C123</f>
        <v>1.1367116427374759E-2</v>
      </c>
      <c r="F119" s="21">
        <f>Federal_Funds_Effective_Rate!C119</f>
        <v>8.9999999999999998E-4</v>
      </c>
    </row>
    <row r="120" spans="1:6" x14ac:dyDescent="0.2">
      <c r="A120" s="1">
        <v>40725</v>
      </c>
      <c r="B120" s="21">
        <f>GDP!F120</f>
        <v>4.4436819121152595</v>
      </c>
      <c r="C120" s="21">
        <f>Consumption!D120</f>
        <v>4.0547925606111264</v>
      </c>
      <c r="D120" s="21">
        <f>Total_Public_Debt!G120</f>
        <v>4.3873335138938749</v>
      </c>
      <c r="E120" s="21">
        <f>Inflation!C124</f>
        <v>6.5236364931779015E-3</v>
      </c>
      <c r="F120" s="21">
        <f>Federal_Funds_Effective_Rate!C120</f>
        <v>8.0000000000000004E-4</v>
      </c>
    </row>
    <row r="121" spans="1:6" x14ac:dyDescent="0.2">
      <c r="A121" s="1">
        <v>40817</v>
      </c>
      <c r="B121" s="21">
        <f>GDP!F121</f>
        <v>4.4538665186595567</v>
      </c>
      <c r="C121" s="21">
        <f>Consumption!D121</f>
        <v>4.0555281749242962</v>
      </c>
      <c r="D121" s="21">
        <f>Total_Public_Debt!G121</f>
        <v>4.4139890294701676</v>
      </c>
      <c r="E121" s="21">
        <f>Inflation!C125</f>
        <v>4.4860706180071498E-3</v>
      </c>
      <c r="F121" s="21">
        <f>Federal_Funds_Effective_Rate!C121</f>
        <v>7.000000000000001E-4</v>
      </c>
    </row>
    <row r="122" spans="1:6" x14ac:dyDescent="0.2">
      <c r="A122" s="1">
        <v>40909</v>
      </c>
      <c r="B122" s="21">
        <f>GDP!F122</f>
        <v>4.4584914498761448</v>
      </c>
      <c r="C122" s="21">
        <f>Consumption!D122</f>
        <v>4.0589944632655612</v>
      </c>
      <c r="D122" s="21">
        <f>Total_Public_Debt!G122</f>
        <v>4.4293002825628793</v>
      </c>
      <c r="E122" s="21">
        <f>Inflation!C126</f>
        <v>5.6331948891639016E-3</v>
      </c>
      <c r="F122" s="21">
        <f>Federal_Funds_Effective_Rate!C122</f>
        <v>1E-3</v>
      </c>
    </row>
    <row r="123" spans="1:6" x14ac:dyDescent="0.2">
      <c r="A123" s="1">
        <v>41000</v>
      </c>
      <c r="B123" s="21">
        <f>GDP!F123</f>
        <v>4.4610493069958448</v>
      </c>
      <c r="C123" s="21">
        <f>Consumption!D123</f>
        <v>4.0588566532493804</v>
      </c>
      <c r="D123" s="21">
        <f>Total_Public_Debt!G123</f>
        <v>4.4390862052819262</v>
      </c>
      <c r="E123" s="21">
        <f>Inflation!C127</f>
        <v>2.1110167041861168E-3</v>
      </c>
      <c r="F123" s="21">
        <f>Federal_Funds_Effective_Rate!C123</f>
        <v>1.5E-3</v>
      </c>
    </row>
    <row r="124" spans="1:6" x14ac:dyDescent="0.2">
      <c r="A124" s="1">
        <v>41091</v>
      </c>
      <c r="B124" s="21">
        <f>GDP!F124</f>
        <v>4.4621633059126555</v>
      </c>
      <c r="C124" s="21">
        <f>Consumption!D124</f>
        <v>4.060557963557522</v>
      </c>
      <c r="D124" s="21">
        <f>Total_Public_Debt!G124</f>
        <v>4.4465202577914393</v>
      </c>
      <c r="E124" s="21">
        <f>Inflation!C128</f>
        <v>4.5147022831370206E-3</v>
      </c>
      <c r="F124" s="21">
        <f>Federal_Funds_Effective_Rate!C124</f>
        <v>1.4000000000000002E-3</v>
      </c>
    </row>
    <row r="125" spans="1:6" x14ac:dyDescent="0.2">
      <c r="A125" s="1">
        <v>41183</v>
      </c>
      <c r="B125" s="21">
        <f>GDP!F125</f>
        <v>4.4623785755425489</v>
      </c>
      <c r="C125" s="21">
        <f>Consumption!D125</f>
        <v>4.063585435728819</v>
      </c>
      <c r="D125" s="21">
        <f>Total_Public_Debt!G125</f>
        <v>4.4631280318930635</v>
      </c>
      <c r="E125" s="21">
        <f>Inflation!C129</f>
        <v>6.6480741034018803E-3</v>
      </c>
      <c r="F125" s="21">
        <f>Federal_Funds_Effective_Rate!C125</f>
        <v>1.6000000000000001E-3</v>
      </c>
    </row>
    <row r="126" spans="1:6" x14ac:dyDescent="0.2">
      <c r="A126" s="1">
        <v>41275</v>
      </c>
      <c r="B126" s="21">
        <f>GDP!F126</f>
        <v>4.4715311162487197</v>
      </c>
      <c r="C126" s="21">
        <f>Consumption!D126</f>
        <v>4.0694080547651383</v>
      </c>
      <c r="D126" s="21">
        <f>Total_Public_Debt!G126</f>
        <v>4.4789035963848889</v>
      </c>
      <c r="E126" s="21">
        <f>Inflation!C130</f>
        <v>4.0195531812818779E-3</v>
      </c>
      <c r="F126" s="21">
        <f>Federal_Funds_Effective_Rate!C126</f>
        <v>1.4000000000000002E-3</v>
      </c>
    </row>
    <row r="127" spans="1:6" x14ac:dyDescent="0.2">
      <c r="A127" s="1">
        <v>41365</v>
      </c>
      <c r="B127" s="21">
        <f>GDP!F127</f>
        <v>4.4723943252467011</v>
      </c>
      <c r="C127" s="21">
        <f>Consumption!D127</f>
        <v>4.0704527487662041</v>
      </c>
      <c r="D127" s="21">
        <f>Total_Public_Debt!G127</f>
        <v>4.4729699966992467</v>
      </c>
      <c r="E127" s="21">
        <f>Inflation!C131</f>
        <v>-1.0934183961188774E-3</v>
      </c>
      <c r="F127" s="21">
        <f>Federal_Funds_Effective_Rate!C127</f>
        <v>1.1999999999999999E-3</v>
      </c>
    </row>
    <row r="128" spans="1:6" x14ac:dyDescent="0.2">
      <c r="A128" s="1">
        <v>41456</v>
      </c>
      <c r="B128" s="21">
        <f>GDP!F128</f>
        <v>4.4797380697703799</v>
      </c>
      <c r="C128" s="21">
        <f>Consumption!D128</f>
        <v>4.0733741132237054</v>
      </c>
      <c r="D128" s="21">
        <f>Total_Public_Debt!G128</f>
        <v>4.4669361684228663</v>
      </c>
      <c r="E128" s="21">
        <f>Inflation!C132</f>
        <v>5.4084337089789648E-3</v>
      </c>
      <c r="F128" s="21">
        <f>Federal_Funds_Effective_Rate!C128</f>
        <v>8.0000000000000004E-4</v>
      </c>
    </row>
    <row r="129" spans="1:6" x14ac:dyDescent="0.2">
      <c r="A129" s="1">
        <v>41548</v>
      </c>
      <c r="B129" s="21">
        <f>GDP!F129</f>
        <v>4.4871837386137647</v>
      </c>
      <c r="C129" s="21">
        <f>Consumption!D129</f>
        <v>4.0809115955906661</v>
      </c>
      <c r="D129" s="21">
        <f>Total_Public_Debt!G129</f>
        <v>4.4850933770883499</v>
      </c>
      <c r="E129" s="21">
        <f>Inflation!C133</f>
        <v>3.6990998714101992E-3</v>
      </c>
      <c r="F129" s="21">
        <f>Federal_Funds_Effective_Rate!C129</f>
        <v>8.9999999999999998E-4</v>
      </c>
    </row>
    <row r="130" spans="1:6" x14ac:dyDescent="0.2">
      <c r="A130" s="1">
        <v>41640</v>
      </c>
      <c r="B130" s="21">
        <f>GDP!F130</f>
        <v>4.4841255304594672</v>
      </c>
      <c r="C130" s="21">
        <f>Consumption!D130</f>
        <v>4.0848983624418977</v>
      </c>
      <c r="D130" s="21">
        <f>Total_Public_Debt!G130</f>
        <v>4.5073162824395343</v>
      </c>
      <c r="E130" s="21">
        <f>Inflation!C134</f>
        <v>6.2264320153055707E-3</v>
      </c>
      <c r="F130" s="21">
        <f>Federal_Funds_Effective_Rate!C130</f>
        <v>7.000000000000001E-4</v>
      </c>
    </row>
    <row r="131" spans="1:6" x14ac:dyDescent="0.2">
      <c r="A131" s="1">
        <v>41730</v>
      </c>
      <c r="B131" s="21">
        <f>GDP!F131</f>
        <v>4.4955904617781899</v>
      </c>
      <c r="C131" s="21">
        <f>Consumption!D131</f>
        <v>4.0930857210775136</v>
      </c>
      <c r="D131" s="21">
        <f>Total_Public_Debt!G131</f>
        <v>4.5020823414219846</v>
      </c>
      <c r="E131" s="21">
        <f>Inflation!C135</f>
        <v>5.3093739522368753E-3</v>
      </c>
      <c r="F131" s="21">
        <f>Federal_Funds_Effective_Rate!C131</f>
        <v>8.9999999999999998E-4</v>
      </c>
    </row>
    <row r="132" spans="1:6" x14ac:dyDescent="0.2">
      <c r="A132" s="1">
        <v>41821</v>
      </c>
      <c r="B132" s="21">
        <f>GDP!F132</f>
        <v>4.5066018382725215</v>
      </c>
      <c r="C132" s="21">
        <f>Consumption!D132</f>
        <v>4.1018568601755527</v>
      </c>
      <c r="D132" s="21">
        <f>Total_Public_Debt!G132</f>
        <v>4.5077157282200426</v>
      </c>
      <c r="E132" s="21">
        <f>Inflation!C136</f>
        <v>2.5583437468337097E-3</v>
      </c>
      <c r="F132" s="21">
        <f>Federal_Funds_Effective_Rate!C132</f>
        <v>8.9999999999999998E-4</v>
      </c>
    </row>
    <row r="133" spans="1:6" x14ac:dyDescent="0.2">
      <c r="A133" s="1">
        <v>41913</v>
      </c>
      <c r="B133" s="21">
        <f>GDP!F133</f>
        <v>4.5105550987043177</v>
      </c>
      <c r="C133" s="21">
        <f>Consumption!D133</f>
        <v>4.1122203543257818</v>
      </c>
      <c r="D133" s="21">
        <f>Total_Public_Debt!G133</f>
        <v>4.5232788535724291</v>
      </c>
      <c r="E133" s="21">
        <f>Inflation!C137</f>
        <v>-2.484440663977309E-3</v>
      </c>
      <c r="F133" s="21">
        <f>Federal_Funds_Effective_Rate!C133</f>
        <v>1E-3</v>
      </c>
    </row>
    <row r="134" spans="1:6" x14ac:dyDescent="0.2">
      <c r="A134" s="1">
        <v>42005</v>
      </c>
      <c r="B134" s="21">
        <f>GDP!F134</f>
        <v>4.5167510695829733</v>
      </c>
      <c r="C134" s="21">
        <f>Consumption!D134</f>
        <v>4.1170925365082462</v>
      </c>
      <c r="D134" s="21">
        <f>Total_Public_Debt!G134</f>
        <v>4.5216399690071345</v>
      </c>
      <c r="E134" s="21">
        <f>Inflation!C138</f>
        <v>-6.4714126507041956E-3</v>
      </c>
      <c r="F134" s="21">
        <f>Federal_Funds_Effective_Rate!C134</f>
        <v>1.1000000000000001E-3</v>
      </c>
    </row>
    <row r="135" spans="1:6" x14ac:dyDescent="0.2">
      <c r="A135" s="1">
        <v>42095</v>
      </c>
      <c r="B135" s="21">
        <f>GDP!F135</f>
        <v>4.5215912091792925</v>
      </c>
      <c r="C135" s="21">
        <f>Consumption!D135</f>
        <v>4.1226202531185336</v>
      </c>
      <c r="D135" s="21">
        <f>Total_Public_Debt!G135</f>
        <v>4.5145760967124984</v>
      </c>
      <c r="E135" s="21">
        <f>Inflation!C139</f>
        <v>6.8194854581377848E-3</v>
      </c>
      <c r="F135" s="21">
        <f>Federal_Funds_Effective_Rate!C135</f>
        <v>1.1999999999999999E-3</v>
      </c>
    </row>
    <row r="136" spans="1:6" x14ac:dyDescent="0.2">
      <c r="A136" s="1">
        <v>42186</v>
      </c>
      <c r="B136" s="21">
        <f>GDP!F136</f>
        <v>4.5238171377084901</v>
      </c>
      <c r="C136" s="21">
        <f>Consumption!D136</f>
        <v>4.1278665470930322</v>
      </c>
      <c r="D136" s="21">
        <f>Total_Public_Debt!G136</f>
        <v>4.510082717150655</v>
      </c>
      <c r="E136" s="21">
        <f>Inflation!C140</f>
        <v>3.7770087778527255E-3</v>
      </c>
      <c r="F136" s="21">
        <f>Federal_Funds_Effective_Rate!C136</f>
        <v>1.4000000000000002E-3</v>
      </c>
    </row>
    <row r="137" spans="1:6" x14ac:dyDescent="0.2">
      <c r="A137" s="1">
        <v>42278</v>
      </c>
      <c r="B137" s="21">
        <f>GDP!F137</f>
        <v>4.5248252068640644</v>
      </c>
      <c r="C137" s="21">
        <f>Consumption!D137</f>
        <v>4.1310937137498343</v>
      </c>
      <c r="D137" s="21">
        <f>Total_Public_Debt!G137</f>
        <v>4.5509014698149013</v>
      </c>
      <c r="E137" s="21">
        <f>Inflation!C141</f>
        <v>-7.5676357444664537E-5</v>
      </c>
      <c r="F137" s="21">
        <f>Federal_Funds_Effective_Rate!C137</f>
        <v>1.6000000000000001E-3</v>
      </c>
    </row>
    <row r="138" spans="1:6" x14ac:dyDescent="0.2">
      <c r="A138" s="1">
        <v>42370</v>
      </c>
      <c r="B138" s="21">
        <f>GDP!F138</f>
        <v>4.5286773110632108</v>
      </c>
      <c r="C138" s="21">
        <f>Consumption!D138</f>
        <v>4.1366824893503784</v>
      </c>
      <c r="D138" s="21">
        <f>Total_Public_Debt!G138</f>
        <v>4.5677925884860686</v>
      </c>
      <c r="E138" s="21">
        <f>Inflation!C142</f>
        <v>-6.222749193775407E-4</v>
      </c>
      <c r="F138" s="21">
        <f>Federal_Funds_Effective_Rate!C138</f>
        <v>3.5999999999999999E-3</v>
      </c>
    </row>
    <row r="139" spans="1:6" x14ac:dyDescent="0.2">
      <c r="A139" s="1">
        <v>42461</v>
      </c>
      <c r="B139" s="21">
        <f>GDP!F139</f>
        <v>4.5305427244612311</v>
      </c>
      <c r="C139" s="21">
        <f>Consumption!D139</f>
        <v>4.1402956054325335</v>
      </c>
      <c r="D139" s="21">
        <f>Total_Public_Debt!G139</f>
        <v>4.5657173189516564</v>
      </c>
      <c r="E139" s="21">
        <f>Inflation!C143</f>
        <v>7.9978459247167961E-3</v>
      </c>
      <c r="F139" s="21">
        <f>Federal_Funds_Effective_Rate!C139</f>
        <v>3.7000000000000002E-3</v>
      </c>
    </row>
    <row r="140" spans="1:6" x14ac:dyDescent="0.2">
      <c r="A140" s="1">
        <v>42552</v>
      </c>
      <c r="B140" s="21">
        <f>GDP!F140</f>
        <v>4.5361197642024136</v>
      </c>
      <c r="C140" s="21">
        <f>Consumption!D140</f>
        <v>4.1457353044402865</v>
      </c>
      <c r="D140" s="21">
        <f>Total_Public_Debt!G140</f>
        <v>4.5715211895625254</v>
      </c>
      <c r="E140" s="21">
        <f>Inflation!C144</f>
        <v>4.2447514503944064E-3</v>
      </c>
      <c r="F140" s="21">
        <f>Federal_Funds_Effective_Rate!C140</f>
        <v>4.0000000000000001E-3</v>
      </c>
    </row>
    <row r="141" spans="1:6" x14ac:dyDescent="0.2">
      <c r="A141" s="1">
        <v>42644</v>
      </c>
      <c r="B141" s="21">
        <f>GDP!F141</f>
        <v>4.5407868717300861</v>
      </c>
      <c r="C141" s="21">
        <f>Consumption!D141</f>
        <v>4.1500110447217935</v>
      </c>
      <c r="D141" s="21">
        <f>Total_Public_Debt!G141</f>
        <v>4.5862277164421714</v>
      </c>
      <c r="E141" s="21">
        <f>Inflation!C145</f>
        <v>6.350604928368633E-3</v>
      </c>
      <c r="F141" s="21">
        <f>Federal_Funds_Effective_Rate!C141</f>
        <v>4.5000000000000005E-3</v>
      </c>
    </row>
    <row r="142" spans="1:6" x14ac:dyDescent="0.2">
      <c r="A142" s="1">
        <v>42736</v>
      </c>
      <c r="B142" s="21">
        <f>GDP!F142</f>
        <v>4.5481461965024064</v>
      </c>
      <c r="C142" s="21">
        <f>Consumption!D142</f>
        <v>4.1601728889455627</v>
      </c>
      <c r="D142" s="21">
        <f>Total_Public_Debt!G142</f>
        <v>4.5770971887058947</v>
      </c>
      <c r="E142" s="21">
        <f>Inflation!C146</f>
        <v>7.0373964936915681E-3</v>
      </c>
      <c r="F142" s="21">
        <f>Federal_Funds_Effective_Rate!C142</f>
        <v>6.9999999999999993E-3</v>
      </c>
    </row>
    <row r="143" spans="1:6" x14ac:dyDescent="0.2">
      <c r="A143" s="1">
        <v>42826</v>
      </c>
      <c r="B143" s="21">
        <f>GDP!F143</f>
        <v>4.5531852775350767</v>
      </c>
      <c r="C143" s="21">
        <f>Consumption!D143</f>
        <v>4.1645813037774184</v>
      </c>
      <c r="D143" s="21">
        <f>Total_Public_Debt!G143</f>
        <v>4.5738518972736077</v>
      </c>
      <c r="E143" s="21">
        <f>Inflation!C147</f>
        <v>1.152399739172183E-3</v>
      </c>
      <c r="F143" s="21">
        <f>Federal_Funds_Effective_Rate!C143</f>
        <v>9.4999999999999998E-3</v>
      </c>
    </row>
    <row r="144" spans="1:6" x14ac:dyDescent="0.2">
      <c r="A144" s="1">
        <v>42917</v>
      </c>
      <c r="B144" s="21">
        <f>GDP!F144</f>
        <v>4.5598318101770738</v>
      </c>
      <c r="C144" s="21">
        <f>Consumption!D144</f>
        <v>4.1701277309395373</v>
      </c>
      <c r="D144" s="21">
        <f>Total_Public_Debt!G144</f>
        <v>4.5874920434024213</v>
      </c>
      <c r="E144" s="21">
        <f>Inflation!C148</f>
        <v>4.7804358512207176E-3</v>
      </c>
      <c r="F144" s="21">
        <f>Federal_Funds_Effective_Rate!C144</f>
        <v>1.15E-2</v>
      </c>
    </row>
    <row r="145" spans="1:6" x14ac:dyDescent="0.2">
      <c r="A145" s="1">
        <v>43009</v>
      </c>
      <c r="B145" s="21">
        <f>GDP!F145</f>
        <v>4.5707179160535105</v>
      </c>
      <c r="C145" s="21">
        <f>Consumption!D145</f>
        <v>4.1806721869808179</v>
      </c>
      <c r="D145" s="21">
        <f>Total_Public_Debt!G145</f>
        <v>4.5932039784391163</v>
      </c>
      <c r="E145" s="21">
        <f>Inflation!C149</f>
        <v>7.9539478243852851E-3</v>
      </c>
      <c r="F145" s="21">
        <f>Federal_Funds_Effective_Rate!C145</f>
        <v>1.2E-2</v>
      </c>
    </row>
    <row r="146" spans="1:6" x14ac:dyDescent="0.2">
      <c r="A146" s="1">
        <v>43101</v>
      </c>
      <c r="B146" s="21">
        <f>GDP!F146</f>
        <v>4.5764526319697421</v>
      </c>
      <c r="C146" s="21">
        <f>Consumption!D146</f>
        <v>4.1855207368698579</v>
      </c>
      <c r="D146" s="21">
        <f>Total_Public_Debt!G146</f>
        <v>4.6132082493587907</v>
      </c>
      <c r="E146" s="21">
        <f>Inflation!C150</f>
        <v>8.429124972698385E-3</v>
      </c>
      <c r="F146" s="21">
        <f>Federal_Funds_Effective_Rate!C146</f>
        <v>1.4499999999999999E-2</v>
      </c>
    </row>
    <row r="147" spans="1:6" x14ac:dyDescent="0.2">
      <c r="A147" s="1">
        <v>43191</v>
      </c>
      <c r="B147" s="21">
        <f>GDP!F147</f>
        <v>4.5811969627057927</v>
      </c>
      <c r="C147" s="21">
        <f>Consumption!D147</f>
        <v>4.1903121805764521</v>
      </c>
      <c r="D147" s="21">
        <f>Total_Public_Debt!G147</f>
        <v>4.6106015258778292</v>
      </c>
      <c r="E147" s="21">
        <f>Inflation!C151</f>
        <v>5.4427607672006455E-3</v>
      </c>
      <c r="F147" s="21">
        <f>Federal_Funds_Effective_Rate!C147</f>
        <v>1.7399999999999999E-2</v>
      </c>
    </row>
    <row r="148" spans="1:6" x14ac:dyDescent="0.2">
      <c r="A148" s="1">
        <v>43282</v>
      </c>
      <c r="B148" s="21">
        <f>GDP!F148</f>
        <v>4.5860429213429397</v>
      </c>
      <c r="C148" s="21">
        <f>Consumption!D148</f>
        <v>4.1935369896684875</v>
      </c>
      <c r="D148" s="21">
        <f>Total_Public_Debt!G148</f>
        <v>4.6199505342677742</v>
      </c>
      <c r="E148" s="21">
        <f>Inflation!C152</f>
        <v>4.0170895846880069E-3</v>
      </c>
      <c r="F148" s="21">
        <f>Federal_Funds_Effective_Rate!C148</f>
        <v>1.9199999999999998E-2</v>
      </c>
    </row>
    <row r="149" spans="1:6" x14ac:dyDescent="0.2">
      <c r="A149" s="1">
        <v>43374</v>
      </c>
      <c r="B149" s="21">
        <f>GDP!F149</f>
        <v>4.5873336890861678</v>
      </c>
      <c r="C149" s="21">
        <f>Consumption!D149</f>
        <v>4.1965350313116261</v>
      </c>
      <c r="D149" s="21">
        <f>Total_Public_Debt!G149</f>
        <v>4.6365943200033763</v>
      </c>
      <c r="E149" s="21">
        <f>Inflation!C153</f>
        <v>4.0725348251392833E-3</v>
      </c>
      <c r="F149" s="21">
        <f>Federal_Funds_Effective_Rate!C149</f>
        <v>2.2200000000000001E-2</v>
      </c>
    </row>
    <row r="150" spans="1:6" x14ac:dyDescent="0.2">
      <c r="A150" s="1">
        <v>43466</v>
      </c>
      <c r="B150" s="21">
        <f>GDP!F150</f>
        <v>4.5958321554934933</v>
      </c>
      <c r="C150" s="21">
        <f>Consumption!D150</f>
        <v>4.2003922431742851</v>
      </c>
      <c r="D150" s="21">
        <f>Total_Public_Debt!G150</f>
        <v>4.6383184268158963</v>
      </c>
      <c r="E150" s="21">
        <f>Inflation!C154</f>
        <v>2.6710352932796076E-3</v>
      </c>
      <c r="F150" s="21">
        <f>Federal_Funds_Effective_Rate!C150</f>
        <v>2.4E-2</v>
      </c>
    </row>
    <row r="151" spans="1:6" x14ac:dyDescent="0.2">
      <c r="A151" s="1">
        <v>43556</v>
      </c>
      <c r="B151" s="21">
        <f>GDP!F151</f>
        <v>4.603494820414582</v>
      </c>
      <c r="C151" s="21">
        <f>Consumption!D151</f>
        <v>4.208232636256275</v>
      </c>
      <c r="D151" s="21">
        <f>Total_Public_Debt!G151</f>
        <v>4.6323004700856707</v>
      </c>
      <c r="E151" s="21">
        <f>Inflation!C155</f>
        <v>7.3445257433323802E-3</v>
      </c>
      <c r="F151" s="21">
        <f>Federal_Funds_Effective_Rate!C151</f>
        <v>2.4E-2</v>
      </c>
    </row>
    <row r="152" spans="1:6" x14ac:dyDescent="0.2">
      <c r="A152" s="1">
        <v>43647</v>
      </c>
      <c r="B152" s="21">
        <f>GDP!F152</f>
        <v>4.6151488447243709</v>
      </c>
      <c r="C152" s="21">
        <f>Consumption!D152</f>
        <v>4.2195382902095071</v>
      </c>
      <c r="D152" s="21">
        <f>Total_Public_Debt!G152</f>
        <v>4.6602648798445356</v>
      </c>
      <c r="E152" s="21">
        <f>Inflation!C156</f>
        <v>3.2987655094868285E-3</v>
      </c>
      <c r="F152" s="21">
        <f>Federal_Funds_Effective_Rate!C152</f>
        <v>2.1899999999999999E-2</v>
      </c>
    </row>
    <row r="153" spans="1:6" x14ac:dyDescent="0.2">
      <c r="A153" s="1">
        <v>43739</v>
      </c>
      <c r="B153" s="21">
        <f>GDP!F153</f>
        <v>4.6224608582478339</v>
      </c>
      <c r="C153" s="21">
        <f>Consumption!D153</f>
        <v>4.2265942713690299</v>
      </c>
      <c r="D153" s="21">
        <f>Total_Public_Debt!G153</f>
        <v>4.6786703722119611</v>
      </c>
      <c r="E153" s="21">
        <f>Inflation!C157</f>
        <v>7.0249014990881225E-3</v>
      </c>
      <c r="F153" s="21">
        <f>Federal_Funds_Effective_Rate!C153</f>
        <v>1.6399999999999998E-2</v>
      </c>
    </row>
    <row r="154" spans="1:6" x14ac:dyDescent="0.2">
      <c r="A154" s="1">
        <v>43831</v>
      </c>
      <c r="B154" s="21">
        <f>GDP!F154</f>
        <v>4.6126798696921281</v>
      </c>
      <c r="C154" s="21">
        <f>Consumption!D154</f>
        <v>4.2130606810621281</v>
      </c>
      <c r="D154" s="21">
        <f>Total_Public_Debt!G154</f>
        <v>4.6781873689118152</v>
      </c>
      <c r="E154" s="21">
        <f>Inflation!C158</f>
        <v>3.606216652190125E-3</v>
      </c>
      <c r="F154" s="21">
        <f>Federal_Funds_Effective_Rate!C154</f>
        <v>1.26E-2</v>
      </c>
    </row>
    <row r="155" spans="1:6" x14ac:dyDescent="0.2">
      <c r="A155" s="1">
        <v>43922</v>
      </c>
      <c r="B155" s="21">
        <f>GDP!F155</f>
        <v>4.5264154869287765</v>
      </c>
      <c r="C155" s="21">
        <f>Consumption!D155</f>
        <v>4.1183233813998363</v>
      </c>
      <c r="D155" s="21">
        <f>Total_Public_Debt!G155</f>
        <v>4.8090563747512105</v>
      </c>
      <c r="E155" s="21">
        <f>Inflation!C159</f>
        <v>-9.7597539583800606E-3</v>
      </c>
      <c r="F155" s="21">
        <f>Federal_Funds_Effective_Rate!C155</f>
        <v>5.9999999999999995E-4</v>
      </c>
    </row>
    <row r="156" spans="1:6" x14ac:dyDescent="0.2">
      <c r="A156" s="1">
        <v>44013</v>
      </c>
      <c r="B156" s="21">
        <f>GDP!F156</f>
        <v>4.6045695875600137</v>
      </c>
      <c r="C156" s="21">
        <f>Consumption!D156</f>
        <v>4.2069371641623841</v>
      </c>
      <c r="D156" s="21">
        <f>Total_Public_Debt!G156</f>
        <v>4.820865140189853</v>
      </c>
      <c r="E156" s="21">
        <f>Inflation!C160</f>
        <v>1.1432272564106593E-2</v>
      </c>
      <c r="F156" s="21">
        <f>Federal_Funds_Effective_Rate!C156</f>
        <v>8.9999999999999998E-4</v>
      </c>
    </row>
    <row r="157" spans="1:6" x14ac:dyDescent="0.2">
      <c r="A157" s="1">
        <v>44105</v>
      </c>
      <c r="B157" s="21">
        <f>GDP!F157</f>
        <v>4.6137577042629738</v>
      </c>
      <c r="C157" s="21">
        <f>Consumption!D157</f>
        <v>4.2183525251455309</v>
      </c>
      <c r="D157" s="21">
        <f>Total_Public_Debt!G157</f>
        <v>4.8419177457502593</v>
      </c>
      <c r="E157" s="21">
        <f>Inflation!C161</f>
        <v>7.2138938824636975E-3</v>
      </c>
      <c r="F157" s="21">
        <f>Federal_Funds_Effective_Rate!C157</f>
        <v>8.9999999999999998E-4</v>
      </c>
    </row>
    <row r="158" spans="1:6" x14ac:dyDescent="0.2">
      <c r="A158" s="1">
        <v>44197</v>
      </c>
      <c r="B158" s="21">
        <f>GDP!F158</f>
        <v>4.6326286463620248</v>
      </c>
      <c r="C158" s="21">
        <f>Consumption!D158</f>
        <v>4.2458374844708953</v>
      </c>
      <c r="D158" s="21">
        <f>Total_Public_Debt!G158</f>
        <v>4.848042592278011</v>
      </c>
      <c r="E158" s="21">
        <f>Inflation!C162</f>
        <v>1.0149679040338403E-2</v>
      </c>
      <c r="F158" s="21">
        <f>Federal_Funds_Effective_Rate!C158</f>
        <v>8.0000000000000004E-4</v>
      </c>
    </row>
    <row r="159" spans="1:6" x14ac:dyDescent="0.2">
      <c r="A159" s="1">
        <v>44287</v>
      </c>
      <c r="B159" s="21">
        <f>GDP!F159</f>
        <v>4.647660983553533</v>
      </c>
      <c r="C159" s="21">
        <f>Consumption!D159</f>
        <v>4.2783387451864732</v>
      </c>
      <c r="D159" s="21">
        <f>Total_Public_Debt!G159</f>
        <v>4.8447547051637576</v>
      </c>
      <c r="E159" s="21">
        <f>Inflation!C163</f>
        <v>1.8229936832207205E-2</v>
      </c>
      <c r="F159" s="21">
        <f>Federal_Funds_Effective_Rate!C159</f>
        <v>7.000000000000001E-4</v>
      </c>
    </row>
    <row r="160" spans="1:6" x14ac:dyDescent="0.2">
      <c r="A160" s="1">
        <v>44378</v>
      </c>
      <c r="B160" s="21">
        <f>GDP!F160</f>
        <v>4.6564802251236364</v>
      </c>
      <c r="C160" s="21">
        <f>Consumption!D160</f>
        <v>4.2872214648274349</v>
      </c>
      <c r="D160" s="21">
        <f>Total_Public_Debt!G160</f>
        <v>4.8265677744970574</v>
      </c>
      <c r="E160" s="21">
        <f>Inflation!C164</f>
        <v>1.5937441817166161E-2</v>
      </c>
      <c r="F160" s="21">
        <f>Federal_Funds_Effective_Rate!C160</f>
        <v>8.9999999999999998E-4</v>
      </c>
    </row>
    <row r="161" spans="1:6" x14ac:dyDescent="0.2">
      <c r="A161" s="1">
        <v>44470</v>
      </c>
      <c r="B161" s="21">
        <f>GDP!F161</f>
        <v>4.6733626270163651</v>
      </c>
      <c r="C161" s="21">
        <f>Consumption!D161</f>
        <v>4.2966577688873926</v>
      </c>
      <c r="D161" s="21">
        <f>Total_Public_Debt!G161</f>
        <v>4.8503265171690995</v>
      </c>
      <c r="E161" s="21">
        <f>Inflation!C165</f>
        <v>2.1775464575010194E-2</v>
      </c>
      <c r="F161" s="21">
        <f>Federal_Funds_Effective_Rate!C161</f>
        <v>8.0000000000000004E-4</v>
      </c>
    </row>
    <row r="162" spans="1:6" x14ac:dyDescent="0.2">
      <c r="A162" s="1">
        <v>44562</v>
      </c>
      <c r="B162" s="21">
        <f>GDP!F162</f>
        <v>4.6633953052158876</v>
      </c>
      <c r="C162" s="21">
        <f>Consumption!D162</f>
        <v>4.2901634354022908</v>
      </c>
      <c r="D162" s="21">
        <f>Total_Public_Debt!G162</f>
        <v>4.8490295938756294</v>
      </c>
      <c r="E162" s="21">
        <f>Inflation!C166</f>
        <v>2.2007310660004057E-2</v>
      </c>
      <c r="F162" s="21">
        <f>Federal_Funds_Effective_Rate!C162</f>
        <v>1.1999999999999999E-3</v>
      </c>
    </row>
    <row r="163" spans="1:6" x14ac:dyDescent="0.2">
      <c r="A163" s="1">
        <v>44652</v>
      </c>
      <c r="B163" s="21">
        <f>GDP!F163</f>
        <v>4.6639620159106467</v>
      </c>
      <c r="C163" s="21">
        <f>Consumption!D163</f>
        <v>4.2973179549539795</v>
      </c>
      <c r="D163" s="21">
        <f>Total_Public_Debt!G163</f>
        <v>4.831187431966522</v>
      </c>
      <c r="E163" s="21">
        <f>Inflation!C167</f>
        <v>2.3513018328852366E-2</v>
      </c>
      <c r="F163" s="21">
        <f>Federal_Funds_Effective_Rate!C163</f>
        <v>7.7000000000000002E-3</v>
      </c>
    </row>
    <row r="164" spans="1:6" x14ac:dyDescent="0.2">
      <c r="A164" s="1">
        <v>44743</v>
      </c>
      <c r="B164" s="21">
        <f>GDP!F164</f>
        <v>4.6694554016363394</v>
      </c>
      <c r="C164" s="21">
        <f>Consumption!D164</f>
        <v>4.3003009229491678</v>
      </c>
      <c r="D164" s="21">
        <f>Total_Public_Debt!G164</f>
        <v>4.8301984439473777</v>
      </c>
      <c r="E164" s="21">
        <f>Inflation!C168</f>
        <v>1.3195932854374775E-2</v>
      </c>
      <c r="F164" s="21">
        <f>Federal_Funds_Effective_Rate!C164</f>
        <v>2.1899999999999999E-2</v>
      </c>
    </row>
    <row r="165" spans="1:6" x14ac:dyDescent="0.2">
      <c r="A165" s="1">
        <v>44835</v>
      </c>
      <c r="B165" s="21">
        <f>GDP!F165</f>
        <v>4.6756317844192354</v>
      </c>
      <c r="C165" s="21">
        <f>Consumption!D165</f>
        <v>4.3015849309647427</v>
      </c>
      <c r="D165" s="21">
        <f>Total_Public_Debt!G165</f>
        <v>4.8357654610980649</v>
      </c>
      <c r="E165" s="21">
        <f>Inflation!C169</f>
        <v>1.0455131611457657E-2</v>
      </c>
      <c r="F165" s="21">
        <f>Federal_Funds_Effective_Rate!C165</f>
        <v>3.6499999999999998E-2</v>
      </c>
    </row>
    <row r="166" spans="1:6" x14ac:dyDescent="0.2">
      <c r="A166" s="1">
        <v>44927</v>
      </c>
      <c r="B166" s="21">
        <f>GDP!F166</f>
        <v>4.6800367439691719</v>
      </c>
      <c r="C166" s="21">
        <f>Consumption!D166</f>
        <v>4.3097791054786052</v>
      </c>
      <c r="D166" s="21">
        <f>Total_Public_Debt!G166</f>
        <v>4.8248826038211261</v>
      </c>
      <c r="E166" s="21">
        <f>Inflation!C170</f>
        <v>9.0037582651688718E-3</v>
      </c>
      <c r="F166" s="21">
        <f>Federal_Funds_Effective_Rate!C166</f>
        <v>4.5199999999999997E-2</v>
      </c>
    </row>
    <row r="167" spans="1:6" x14ac:dyDescent="0.2">
      <c r="A167" s="1">
        <v>45017</v>
      </c>
      <c r="B167" s="21">
        <f>GDP!F167</f>
        <v>4.6851174182795328</v>
      </c>
      <c r="C167" s="21">
        <f>Consumption!D167</f>
        <v>4.3123337812739315</v>
      </c>
      <c r="D167" s="21">
        <f>Total_Public_Debt!G167</f>
        <v>4.8459050277184126</v>
      </c>
      <c r="E167" s="21">
        <f>Inflation!C171</f>
        <v>7.197158317564672E-3</v>
      </c>
      <c r="F167" s="21">
        <f>Federal_Funds_Effective_Rate!C167</f>
        <v>4.99E-2</v>
      </c>
    </row>
    <row r="168" spans="1:6" x14ac:dyDescent="0.2">
      <c r="A168" s="1">
        <v>45108</v>
      </c>
      <c r="B168" s="21">
        <f>GDP!F168</f>
        <v>4.694523514184981</v>
      </c>
      <c r="C168" s="21">
        <f>Consumption!D168</f>
        <v>4.3178339193960777</v>
      </c>
      <c r="D168" s="21">
        <f>Total_Public_Debt!G168</f>
        <v>4.8612149747797675</v>
      </c>
      <c r="E168" s="21">
        <f>Inflation!C172</f>
        <v>8.5399376396678665E-3</v>
      </c>
      <c r="F168" s="21">
        <f>Federal_Funds_Effective_Rate!C168</f>
        <v>5.2600000000000001E-2</v>
      </c>
    </row>
    <row r="169" spans="1:6" x14ac:dyDescent="0.2">
      <c r="A169" s="1">
        <v>45200</v>
      </c>
      <c r="B169" s="21">
        <f>GDP!F169</f>
        <v>4.7016650644898652</v>
      </c>
      <c r="C169" s="21">
        <f>Consumption!D169</f>
        <v>4.3240661536961618</v>
      </c>
      <c r="D169" s="21">
        <f>Total_Public_Debt!G169</f>
        <v>4.8808102698514686</v>
      </c>
      <c r="E169" s="21">
        <f>Inflation!C173</f>
        <v>7.209409488576444E-3</v>
      </c>
      <c r="F169" s="21">
        <f>Federal_Funds_Effective_Rate!C169</f>
        <v>5.33E-2</v>
      </c>
    </row>
    <row r="170" spans="1:6" x14ac:dyDescent="0.2">
      <c r="A170" s="1">
        <v>45292</v>
      </c>
      <c r="B170" s="21">
        <f>GDP!F170</f>
        <v>4.7071123028000343</v>
      </c>
      <c r="C170" s="21">
        <f>Consumption!D170</f>
        <v>4.3317092733307234</v>
      </c>
      <c r="D170" s="21">
        <f>Total_Public_Debt!G170</f>
        <v>4.8933952516999666</v>
      </c>
      <c r="E170" s="21">
        <f>Inflation!C174</f>
        <v>9.1111147163321689E-3</v>
      </c>
      <c r="F170" s="21">
        <f>Federal_Funds_Effective_Rate!C170</f>
        <v>5.33E-2</v>
      </c>
    </row>
    <row r="171" spans="1:6" x14ac:dyDescent="0.2">
      <c r="A171" s="1">
        <v>45383</v>
      </c>
      <c r="B171" s="21">
        <f>GDP!F171</f>
        <v>4.7147990695046191</v>
      </c>
      <c r="C171" s="21">
        <f>Consumption!D171</f>
        <v>4.3401150814508149</v>
      </c>
      <c r="D171" s="21">
        <f>Total_Public_Debt!G171</f>
        <v>4.8929715652258663</v>
      </c>
      <c r="E171" s="21">
        <f>Inflation!C175</f>
        <v>6.6816075729174045E-3</v>
      </c>
      <c r="F171" s="21">
        <f>Federal_Funds_Effective_Rate!C171</f>
        <v>5.33E-2</v>
      </c>
    </row>
    <row r="172" spans="1:6" x14ac:dyDescent="0.2">
      <c r="A172" s="1">
        <v>45474</v>
      </c>
      <c r="B172" s="21">
        <f>GDP!F172</f>
        <v>4.7210640250482321</v>
      </c>
      <c r="C172" s="21">
        <f>Consumption!D172</f>
        <v>4.3478704774231769</v>
      </c>
      <c r="D172" s="21">
        <f>Total_Public_Debt!G172</f>
        <v>4.9048155524684258</v>
      </c>
      <c r="E172" s="21">
        <f>Inflation!C176</f>
        <v>3.3218240646987955E-3</v>
      </c>
      <c r="F172" s="21">
        <f>Federal_Funds_Effective_Rate!C172</f>
        <v>5.2600000000000001E-2</v>
      </c>
    </row>
    <row r="173" spans="1:6" x14ac:dyDescent="0.2">
      <c r="A173" s="1">
        <v>45566</v>
      </c>
      <c r="B173" s="21">
        <f>GDP!F173</f>
        <v>4.7236029738021905</v>
      </c>
      <c r="C173" s="21">
        <f>Consumption!D173</f>
        <v>4.3553725730642547</v>
      </c>
      <c r="D173" s="21">
        <f>Total_Public_Debt!G173</f>
        <v>4.917822840654388</v>
      </c>
      <c r="E173" s="21">
        <f>Inflation!C177</f>
        <v>7.8536614871340706E-3</v>
      </c>
      <c r="F173" s="21">
        <f>Federal_Funds_Effective_Rate!C173</f>
        <v>4.6500000000000007E-2</v>
      </c>
    </row>
    <row r="174" spans="1:6" x14ac:dyDescent="0.2">
      <c r="A174" s="1">
        <v>45658</v>
      </c>
      <c r="B174" s="21">
        <f>GDP!F174</f>
        <v>4.7129082398401199</v>
      </c>
      <c r="C174" s="21">
        <f>Consumption!D174</f>
        <v>4.3478285491275539</v>
      </c>
      <c r="D174" s="21">
        <f>Total_Public_Debt!G174</f>
        <v>4.899762407225329</v>
      </c>
      <c r="E174" s="21">
        <f>Inflation!C178</f>
        <v>9.1191074835432814E-3</v>
      </c>
      <c r="F174" s="21">
        <f>Federal_Funds_Effective_Rate!C174</f>
        <v>4.3299999999999998E-2</v>
      </c>
    </row>
    <row r="175" spans="1:6" x14ac:dyDescent="0.2">
      <c r="A175" s="1">
        <v>45748</v>
      </c>
      <c r="B175" s="21">
        <f>GDP!F175</f>
        <v>4.720761856745618</v>
      </c>
      <c r="C175" s="21">
        <f>Consumption!D175</f>
        <v>4.3523620204427003</v>
      </c>
      <c r="D175" s="21">
        <f>Total_Public_Debt!G175</f>
        <v>4.8928790761299981</v>
      </c>
      <c r="E175" s="21">
        <f>Inflation!C179</f>
        <v>4.1036074810234871E-3</v>
      </c>
      <c r="F175" s="21">
        <f>Federal_Funds_Effective_Rate!C175</f>
        <v>4.3299999999999998E-2</v>
      </c>
    </row>
    <row r="176" spans="1:6" x14ac:dyDescent="0.2">
      <c r="A176" s="1">
        <v>45839</v>
      </c>
      <c r="B176" s="21">
        <f>GDP!F176</f>
        <v>4.7293927254536774</v>
      </c>
      <c r="C176" s="21">
        <f>Consumption!D176</f>
        <v>4.3587699676624982</v>
      </c>
      <c r="D176" s="21">
        <f>Total_Public_Debt!G176</f>
        <v>4.9202506400265831</v>
      </c>
      <c r="E176" s="21">
        <f>Inflation!C180</f>
        <v>7.634373071144041E-3</v>
      </c>
      <c r="F176" s="21">
        <f>Federal_Funds_Effective_Rate!C176</f>
        <v>4.2900000000000001E-2</v>
      </c>
    </row>
    <row r="177" spans="1:6" x14ac:dyDescent="0.2">
      <c r="A177" s="1"/>
      <c r="B177" s="21"/>
      <c r="C177" s="21"/>
      <c r="D177" s="21"/>
      <c r="E177" s="21"/>
      <c r="F17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05A6-3D24-C442-8FCE-8E3B0FA10A4D}">
  <dimension ref="A1:F177"/>
  <sheetViews>
    <sheetView showGridLines="0" topLeftCell="A160" workbookViewId="0">
      <selection activeCell="F2" sqref="F2"/>
    </sheetView>
  </sheetViews>
  <sheetFormatPr baseColWidth="10" defaultColWidth="11" defaultRowHeight="16" x14ac:dyDescent="0.2"/>
  <cols>
    <col min="1" max="1" width="13.83203125" bestFit="1" customWidth="1"/>
    <col min="2" max="2" width="10.33203125" bestFit="1" customWidth="1"/>
    <col min="5" max="5" width="15.6640625" bestFit="1" customWidth="1"/>
    <col min="6" max="6" width="14.1640625" bestFit="1" customWidth="1"/>
  </cols>
  <sheetData>
    <row r="1" spans="1:6" x14ac:dyDescent="0.2">
      <c r="A1" s="29" t="s">
        <v>8</v>
      </c>
      <c r="B1" s="29" t="s">
        <v>28</v>
      </c>
      <c r="C1" s="29" t="s">
        <v>30</v>
      </c>
      <c r="D1" s="30" t="s">
        <v>32</v>
      </c>
      <c r="E1" s="29" t="s">
        <v>35</v>
      </c>
      <c r="F1" s="29" t="s">
        <v>38</v>
      </c>
    </row>
    <row r="2" spans="1:6" x14ac:dyDescent="0.2">
      <c r="A2" s="1">
        <v>29952</v>
      </c>
      <c r="B2" s="4">
        <v>3274.3020000000001</v>
      </c>
      <c r="C2" s="4">
        <v>44.88</v>
      </c>
      <c r="D2" s="4">
        <f>B2/(C2)*100</f>
        <v>7295.681818181818</v>
      </c>
      <c r="E2" s="8">
        <f>D2/(Working_Age_Population!B2/1000000)</f>
        <v>49.930877814982452</v>
      </c>
      <c r="F2" s="4">
        <f>LN(E2)</f>
        <v>3.9106396052709025</v>
      </c>
    </row>
    <row r="3" spans="1:6" x14ac:dyDescent="0.2">
      <c r="A3" s="1">
        <v>30042</v>
      </c>
      <c r="B3" s="4">
        <v>3331.9720000000002</v>
      </c>
      <c r="C3" s="4">
        <v>45.463000000000001</v>
      </c>
      <c r="D3" s="4">
        <f t="shared" ref="D3:D66" si="0">B3/(C3)*100</f>
        <v>7328.9752106108263</v>
      </c>
      <c r="E3" s="8">
        <f>D3/(Working_Age_Population!B3/1000000)</f>
        <v>49.949238620552251</v>
      </c>
      <c r="F3" s="4">
        <f t="shared" ref="F3:F66" si="1">LN(E3)</f>
        <v>3.9110072621466028</v>
      </c>
    </row>
    <row r="4" spans="1:6" x14ac:dyDescent="0.2">
      <c r="A4" s="1">
        <v>30133</v>
      </c>
      <c r="B4" s="4">
        <v>3366.3220000000001</v>
      </c>
      <c r="C4" s="4">
        <v>46.107999999999997</v>
      </c>
      <c r="D4" s="4">
        <f t="shared" si="0"/>
        <v>7300.9499436106535</v>
      </c>
      <c r="E4" s="8">
        <f>D4/(Working_Age_Population!B4/1000000)</f>
        <v>49.607393575838941</v>
      </c>
      <c r="F4" s="4">
        <f t="shared" si="1"/>
        <v>3.9041398866509542</v>
      </c>
    </row>
    <row r="5" spans="1:6" x14ac:dyDescent="0.2">
      <c r="A5" s="1">
        <v>30225</v>
      </c>
      <c r="B5" s="4">
        <v>3402.5610000000001</v>
      </c>
      <c r="C5" s="4">
        <v>46.585999999999999</v>
      </c>
      <c r="D5" s="4">
        <f t="shared" si="0"/>
        <v>7303.8273300991723</v>
      </c>
      <c r="E5" s="8">
        <f>D5/(Working_Age_Population!B5/1000000)</f>
        <v>49.45614780112777</v>
      </c>
      <c r="F5" s="4">
        <f t="shared" si="1"/>
        <v>3.9010863739231421</v>
      </c>
    </row>
    <row r="6" spans="1:6" x14ac:dyDescent="0.2">
      <c r="A6" s="1">
        <v>30317</v>
      </c>
      <c r="B6" s="4">
        <v>3473.413</v>
      </c>
      <c r="C6" s="4">
        <v>46.938000000000002</v>
      </c>
      <c r="D6" s="4">
        <f t="shared" si="0"/>
        <v>7400.0021304699812</v>
      </c>
      <c r="E6" s="8">
        <f>D6/(Working_Age_Population!B6/1000000)</f>
        <v>50.161740931791769</v>
      </c>
      <c r="F6" s="4">
        <f t="shared" si="1"/>
        <v>3.9152526032939776</v>
      </c>
    </row>
    <row r="7" spans="1:6" x14ac:dyDescent="0.2">
      <c r="A7" s="1">
        <v>30407</v>
      </c>
      <c r="B7" s="4">
        <v>3578.848</v>
      </c>
      <c r="C7" s="4">
        <v>47.286000000000001</v>
      </c>
      <c r="D7" s="4">
        <f t="shared" si="0"/>
        <v>7568.5149938671057</v>
      </c>
      <c r="E7" s="8">
        <f>D7/(Working_Age_Population!B7/1000000)</f>
        <v>51.065719543893422</v>
      </c>
      <c r="F7" s="4">
        <f t="shared" si="1"/>
        <v>3.9331134216757886</v>
      </c>
    </row>
    <row r="8" spans="1:6" x14ac:dyDescent="0.2">
      <c r="A8" s="1">
        <v>30498</v>
      </c>
      <c r="B8" s="4">
        <v>3689.1790000000001</v>
      </c>
      <c r="C8" s="4">
        <v>47.789000000000001</v>
      </c>
      <c r="D8" s="4">
        <f t="shared" si="0"/>
        <v>7719.7242043148008</v>
      </c>
      <c r="E8" s="8">
        <f>D8/(Working_Age_Population!B8/1000000)</f>
        <v>51.971877095522217</v>
      </c>
      <c r="F8" s="4">
        <f t="shared" si="1"/>
        <v>3.9507027471966789</v>
      </c>
    </row>
    <row r="9" spans="1:6" x14ac:dyDescent="0.2">
      <c r="A9" s="1">
        <v>30590</v>
      </c>
      <c r="B9" s="4">
        <v>3794.7060000000001</v>
      </c>
      <c r="C9" s="4">
        <v>48.151000000000003</v>
      </c>
      <c r="D9" s="4">
        <f t="shared" si="0"/>
        <v>7880.8456729870613</v>
      </c>
      <c r="E9" s="8">
        <f>D9/(Working_Age_Population!B9/1000000)</f>
        <v>52.914890174321286</v>
      </c>
      <c r="F9" s="4">
        <f t="shared" si="1"/>
        <v>3.9686847770322666</v>
      </c>
    </row>
    <row r="10" spans="1:6" x14ac:dyDescent="0.2">
      <c r="A10" s="1">
        <v>30682</v>
      </c>
      <c r="B10" s="4">
        <v>3908.0540000000001</v>
      </c>
      <c r="C10" s="4">
        <v>48.639000000000003</v>
      </c>
      <c r="D10" s="4">
        <f t="shared" si="0"/>
        <v>8034.8156828882165</v>
      </c>
      <c r="E10" s="8">
        <f>D10/(Working_Age_Population!B10/1000000)</f>
        <v>53.823371322440266</v>
      </c>
      <c r="F10" s="4">
        <f t="shared" si="1"/>
        <v>3.9857077840362862</v>
      </c>
    </row>
    <row r="11" spans="1:6" x14ac:dyDescent="0.2">
      <c r="A11" s="1">
        <v>30773</v>
      </c>
      <c r="B11" s="4">
        <v>4009.6010000000001</v>
      </c>
      <c r="C11" s="4">
        <v>49.055</v>
      </c>
      <c r="D11" s="4">
        <f t="shared" si="0"/>
        <v>8173.6846396901437</v>
      </c>
      <c r="E11" s="8">
        <f>D11/(Working_Age_Population!B11/1000000)</f>
        <v>54.591643160253717</v>
      </c>
      <c r="F11" s="4">
        <f t="shared" si="1"/>
        <v>3.9998808153636358</v>
      </c>
    </row>
    <row r="12" spans="1:6" x14ac:dyDescent="0.2">
      <c r="A12" s="1">
        <v>30864</v>
      </c>
      <c r="B12" s="4">
        <v>4084.25</v>
      </c>
      <c r="C12" s="4">
        <v>49.491</v>
      </c>
      <c r="D12" s="4">
        <f t="shared" si="0"/>
        <v>8252.510557475096</v>
      </c>
      <c r="E12" s="8">
        <f>D12/(Working_Age_Population!B12/1000000)</f>
        <v>54.976652839226858</v>
      </c>
      <c r="F12" s="4">
        <f t="shared" si="1"/>
        <v>4.0069086012772201</v>
      </c>
    </row>
    <row r="13" spans="1:6" x14ac:dyDescent="0.2">
      <c r="A13" s="1">
        <v>30956</v>
      </c>
      <c r="B13" s="4">
        <v>4148.5510000000004</v>
      </c>
      <c r="C13" s="4">
        <v>49.860999999999997</v>
      </c>
      <c r="D13" s="4">
        <f t="shared" si="0"/>
        <v>8320.2322456428883</v>
      </c>
      <c r="E13" s="8">
        <f>D13/(Working_Age_Population!B13/1000000)</f>
        <v>55.282306838383214</v>
      </c>
      <c r="F13" s="4">
        <f t="shared" si="1"/>
        <v>4.0124529086607943</v>
      </c>
    </row>
    <row r="14" spans="1:6" x14ac:dyDescent="0.2">
      <c r="A14" s="1">
        <v>31048</v>
      </c>
      <c r="B14" s="4">
        <v>4230.1679999999997</v>
      </c>
      <c r="C14" s="4">
        <v>50.353999999999999</v>
      </c>
      <c r="D14" s="4">
        <f t="shared" si="0"/>
        <v>8400.8579258847367</v>
      </c>
      <c r="E14" s="8">
        <f>D14/(Working_Age_Population!B14/1000000)</f>
        <v>55.757203331500037</v>
      </c>
      <c r="F14" s="4">
        <f t="shared" si="1"/>
        <v>4.0210066097335382</v>
      </c>
    </row>
    <row r="15" spans="1:6" x14ac:dyDescent="0.2">
      <c r="A15" s="1">
        <v>31138</v>
      </c>
      <c r="B15" s="4">
        <v>4294.8869999999997</v>
      </c>
      <c r="C15" s="4">
        <v>50.677999999999997</v>
      </c>
      <c r="D15" s="4">
        <f t="shared" si="0"/>
        <v>8474.8549666521976</v>
      </c>
      <c r="E15" s="8">
        <f>D15/(Working_Age_Population!B15/1000000)</f>
        <v>56.102847147088283</v>
      </c>
      <c r="F15" s="4">
        <f t="shared" si="1"/>
        <v>4.0271865625258441</v>
      </c>
    </row>
    <row r="16" spans="1:6" x14ac:dyDescent="0.2">
      <c r="A16" s="1">
        <v>31229</v>
      </c>
      <c r="B16" s="4">
        <v>4386.7730000000001</v>
      </c>
      <c r="C16" s="4">
        <v>50.984000000000002</v>
      </c>
      <c r="D16" s="4">
        <f t="shared" si="0"/>
        <v>8604.2150478581516</v>
      </c>
      <c r="E16" s="8">
        <f>D16/(Working_Age_Population!B16/1000000)</f>
        <v>56.839245066183544</v>
      </c>
      <c r="F16" s="4">
        <f t="shared" si="1"/>
        <v>4.0402270214057134</v>
      </c>
    </row>
    <row r="17" spans="1:6" x14ac:dyDescent="0.2">
      <c r="A17" s="1">
        <v>31321</v>
      </c>
      <c r="B17" s="4">
        <v>4444.0940000000001</v>
      </c>
      <c r="C17" s="4">
        <v>51.268999999999998</v>
      </c>
      <c r="D17" s="4">
        <f t="shared" si="0"/>
        <v>8668.1893541906411</v>
      </c>
      <c r="E17" s="8">
        <f>D17/(Working_Age_Population!B17/1000000)</f>
        <v>57.112002011438662</v>
      </c>
      <c r="F17" s="4">
        <f t="shared" si="1"/>
        <v>4.0450142874193533</v>
      </c>
    </row>
    <row r="18" spans="1:6" x14ac:dyDescent="0.2">
      <c r="A18" s="1">
        <v>31413</v>
      </c>
      <c r="B18" s="4">
        <v>4507.8940000000002</v>
      </c>
      <c r="C18" s="4">
        <v>51.524000000000001</v>
      </c>
      <c r="D18" s="4">
        <f t="shared" si="0"/>
        <v>8749.1149755453771</v>
      </c>
      <c r="E18" s="8">
        <f>D18/(Working_Age_Population!B18/1000000)</f>
        <v>57.388455880643718</v>
      </c>
      <c r="F18" s="4">
        <f t="shared" si="1"/>
        <v>4.0498431660368164</v>
      </c>
    </row>
    <row r="19" spans="1:6" x14ac:dyDescent="0.2">
      <c r="A19" s="1">
        <v>31503</v>
      </c>
      <c r="B19" s="4">
        <v>4545.34</v>
      </c>
      <c r="C19" s="4">
        <v>51.719000000000001</v>
      </c>
      <c r="D19" s="4">
        <f t="shared" si="0"/>
        <v>8788.5303273458503</v>
      </c>
      <c r="E19" s="8">
        <f>D19/(Working_Age_Population!B19/1000000)</f>
        <v>57.477276197386963</v>
      </c>
      <c r="F19" s="4">
        <f t="shared" si="1"/>
        <v>4.051389673125378</v>
      </c>
    </row>
    <row r="20" spans="1:6" x14ac:dyDescent="0.2">
      <c r="A20" s="1">
        <v>31594</v>
      </c>
      <c r="B20" s="4">
        <v>4607.6689999999999</v>
      </c>
      <c r="C20" s="4">
        <v>51.930999999999997</v>
      </c>
      <c r="D20" s="4">
        <f t="shared" si="0"/>
        <v>8872.6752806608765</v>
      </c>
      <c r="E20" s="8">
        <f>D20/(Working_Age_Population!B20/1000000)</f>
        <v>57.885684439376114</v>
      </c>
      <c r="F20" s="4">
        <f t="shared" si="1"/>
        <v>4.0584701077110683</v>
      </c>
    </row>
    <row r="21" spans="1:6" x14ac:dyDescent="0.2">
      <c r="A21" s="1">
        <v>31686</v>
      </c>
      <c r="B21" s="4">
        <v>4657.6270000000004</v>
      </c>
      <c r="C21" s="4">
        <v>52.213999999999999</v>
      </c>
      <c r="D21" s="4">
        <f t="shared" si="0"/>
        <v>8920.2646799708909</v>
      </c>
      <c r="E21" s="8">
        <f>D21/(Working_Age_Population!B21/1000000)</f>
        <v>58.035068314850726</v>
      </c>
      <c r="F21" s="4">
        <f t="shared" si="1"/>
        <v>4.0610474539518089</v>
      </c>
    </row>
    <row r="22" spans="1:6" x14ac:dyDescent="0.2">
      <c r="A22" s="1">
        <v>31778</v>
      </c>
      <c r="B22" s="4">
        <v>4722.1559999999999</v>
      </c>
      <c r="C22" s="4">
        <v>52.548000000000002</v>
      </c>
      <c r="D22" s="4">
        <f t="shared" si="0"/>
        <v>8986.366750399633</v>
      </c>
      <c r="E22" s="8">
        <f>D22/(Working_Age_Population!B22/1000000)</f>
        <v>58.340832309086238</v>
      </c>
      <c r="F22" s="4">
        <f t="shared" si="1"/>
        <v>4.0663022308631138</v>
      </c>
    </row>
    <row r="23" spans="1:6" x14ac:dyDescent="0.2">
      <c r="A23" s="1">
        <v>31868</v>
      </c>
      <c r="B23" s="4">
        <v>4806.16</v>
      </c>
      <c r="C23" s="4">
        <v>52.911999999999999</v>
      </c>
      <c r="D23" s="4">
        <f t="shared" si="0"/>
        <v>9083.3081342606583</v>
      </c>
      <c r="E23" s="8">
        <f>D23/(Working_Age_Population!B23/1000000)</f>
        <v>58.787579593198295</v>
      </c>
      <c r="F23" s="4">
        <f t="shared" si="1"/>
        <v>4.0739306011838927</v>
      </c>
    </row>
    <row r="24" spans="1:6" x14ac:dyDescent="0.2">
      <c r="A24" s="1">
        <v>31959</v>
      </c>
      <c r="B24" s="4">
        <v>4884.5550000000003</v>
      </c>
      <c r="C24" s="4">
        <v>53.313000000000002</v>
      </c>
      <c r="D24" s="4">
        <f t="shared" si="0"/>
        <v>9162.0336503291874</v>
      </c>
      <c r="E24" s="8">
        <f>D24/(Working_Age_Population!B24/1000000)</f>
        <v>59.181140975711322</v>
      </c>
      <c r="F24" s="4">
        <f t="shared" si="1"/>
        <v>4.0806029265380079</v>
      </c>
    </row>
    <row r="25" spans="1:6" x14ac:dyDescent="0.2">
      <c r="A25" s="1">
        <v>32051</v>
      </c>
      <c r="B25" s="4">
        <v>5007.9939999999997</v>
      </c>
      <c r="C25" s="4">
        <v>53.738</v>
      </c>
      <c r="D25" s="4">
        <f t="shared" si="0"/>
        <v>9319.2787226915771</v>
      </c>
      <c r="E25" s="8">
        <f>D25/(Working_Age_Population!B25/1000000)</f>
        <v>60.063462879528487</v>
      </c>
      <c r="F25" s="4">
        <f t="shared" si="1"/>
        <v>4.0954017178948892</v>
      </c>
    </row>
    <row r="26" spans="1:6" x14ac:dyDescent="0.2">
      <c r="A26" s="1">
        <v>32143</v>
      </c>
      <c r="B26" s="4">
        <v>5073.3720000000003</v>
      </c>
      <c r="C26" s="4">
        <v>54.158999999999999</v>
      </c>
      <c r="D26" s="4">
        <f t="shared" si="0"/>
        <v>9367.5510995402437</v>
      </c>
      <c r="E26" s="8">
        <f>D26/(Working_Age_Population!B26/1000000)</f>
        <v>60.238955359774138</v>
      </c>
      <c r="F26" s="4">
        <f t="shared" si="1"/>
        <v>4.0983192420360659</v>
      </c>
    </row>
    <row r="27" spans="1:6" x14ac:dyDescent="0.2">
      <c r="A27" s="1">
        <v>32234</v>
      </c>
      <c r="B27" s="4">
        <v>5190.0360000000001</v>
      </c>
      <c r="C27" s="4">
        <v>54.686</v>
      </c>
      <c r="D27" s="4">
        <f t="shared" si="0"/>
        <v>9490.6118567823578</v>
      </c>
      <c r="E27" s="8">
        <f>D27/(Working_Age_Population!B27/1000000)</f>
        <v>60.907168722846485</v>
      </c>
      <c r="F27" s="4">
        <f t="shared" si="1"/>
        <v>4.1093508808070434</v>
      </c>
    </row>
    <row r="28" spans="1:6" x14ac:dyDescent="0.2">
      <c r="A28" s="1">
        <v>32325</v>
      </c>
      <c r="B28" s="4">
        <v>5282.835</v>
      </c>
      <c r="C28" s="4">
        <v>55.34</v>
      </c>
      <c r="D28" s="4">
        <f t="shared" si="0"/>
        <v>9546.1420310805916</v>
      </c>
      <c r="E28" s="8">
        <f>D28/(Working_Age_Population!B28/1000000)</f>
        <v>61.132255573575499</v>
      </c>
      <c r="F28" s="4">
        <f t="shared" si="1"/>
        <v>4.1130396413408707</v>
      </c>
    </row>
    <row r="29" spans="1:6" x14ac:dyDescent="0.2">
      <c r="A29" s="1">
        <v>32417</v>
      </c>
      <c r="B29" s="4">
        <v>5399.509</v>
      </c>
      <c r="C29" s="4">
        <v>55.817999999999998</v>
      </c>
      <c r="D29" s="4">
        <f t="shared" si="0"/>
        <v>9673.4189687914295</v>
      </c>
      <c r="E29" s="8">
        <f>D29/(Working_Age_Population!B29/1000000)</f>
        <v>61.807758369513266</v>
      </c>
      <c r="F29" s="4">
        <f t="shared" si="1"/>
        <v>4.1240288965439253</v>
      </c>
    </row>
    <row r="30" spans="1:6" x14ac:dyDescent="0.2">
      <c r="A30" s="1">
        <v>32509</v>
      </c>
      <c r="B30" s="4">
        <v>5511.2529999999997</v>
      </c>
      <c r="C30" s="4">
        <v>56.4</v>
      </c>
      <c r="D30" s="4">
        <f t="shared" si="0"/>
        <v>9771.7251773049647</v>
      </c>
      <c r="E30" s="8">
        <f>D30/(Working_Age_Population!B30/1000000)</f>
        <v>62.310920158170404</v>
      </c>
      <c r="F30" s="4">
        <f t="shared" si="1"/>
        <v>4.1321366938707875</v>
      </c>
    </row>
    <row r="31" spans="1:6" x14ac:dyDescent="0.2">
      <c r="A31" s="1">
        <v>32599</v>
      </c>
      <c r="B31" s="4">
        <v>5612.4629999999997</v>
      </c>
      <c r="C31" s="4">
        <v>57.000999999999998</v>
      </c>
      <c r="D31" s="4">
        <f t="shared" si="0"/>
        <v>9846.2535744986926</v>
      </c>
      <c r="E31" s="8">
        <f>D31/(Working_Age_Population!B31/1000000)</f>
        <v>62.725258685649131</v>
      </c>
      <c r="F31" s="4">
        <f t="shared" si="1"/>
        <v>4.1387642163675231</v>
      </c>
    </row>
    <row r="32" spans="1:6" x14ac:dyDescent="0.2">
      <c r="A32" s="1">
        <v>32690</v>
      </c>
      <c r="B32" s="4">
        <v>5695.3649999999998</v>
      </c>
      <c r="C32" s="4">
        <v>57.417000000000002</v>
      </c>
      <c r="D32" s="4">
        <f t="shared" si="0"/>
        <v>9919.3009039134758</v>
      </c>
      <c r="E32" s="8">
        <f>D32/(Working_Age_Population!B32/1000000)</f>
        <v>63.047606362807841</v>
      </c>
      <c r="F32" s="4">
        <f t="shared" si="1"/>
        <v>4.1438900975793747</v>
      </c>
    </row>
    <row r="33" spans="1:6" x14ac:dyDescent="0.2">
      <c r="A33" s="1">
        <v>32782</v>
      </c>
      <c r="B33" s="4">
        <v>5747.2370000000001</v>
      </c>
      <c r="C33" s="4">
        <v>57.826000000000001</v>
      </c>
      <c r="D33" s="4">
        <f t="shared" si="0"/>
        <v>9938.8458478884932</v>
      </c>
      <c r="E33" s="8">
        <f>D33/(Working_Age_Population!B33/1000000)</f>
        <v>62.991957438658062</v>
      </c>
      <c r="F33" s="4">
        <f t="shared" si="1"/>
        <v>4.1430070585384993</v>
      </c>
    </row>
    <row r="34" spans="1:6" x14ac:dyDescent="0.2">
      <c r="A34" s="1">
        <v>32874</v>
      </c>
      <c r="B34" s="4">
        <v>5872.701</v>
      </c>
      <c r="C34" s="4">
        <v>58.45</v>
      </c>
      <c r="D34" s="4">
        <f t="shared" si="0"/>
        <v>10047.392643284858</v>
      </c>
      <c r="E34" s="8">
        <f>D34/(Working_Age_Population!B34/1000000)</f>
        <v>63.038481787536966</v>
      </c>
      <c r="F34" s="4">
        <f t="shared" si="1"/>
        <v>4.1437453619400877</v>
      </c>
    </row>
    <row r="35" spans="1:6" x14ac:dyDescent="0.2">
      <c r="A35" s="1">
        <v>32964</v>
      </c>
      <c r="B35" s="4">
        <v>5960.0280000000002</v>
      </c>
      <c r="C35" s="4">
        <v>59.104999999999997</v>
      </c>
      <c r="D35" s="4">
        <f t="shared" si="0"/>
        <v>10083.796633110567</v>
      </c>
      <c r="E35" s="8">
        <f>D35/(Working_Age_Population!B35/1000000)</f>
        <v>63.168318474314816</v>
      </c>
      <c r="F35" s="4">
        <f t="shared" si="1"/>
        <v>4.1458028855016194</v>
      </c>
    </row>
    <row r="36" spans="1:6" x14ac:dyDescent="0.2">
      <c r="A36" s="1">
        <v>33055</v>
      </c>
      <c r="B36" s="4">
        <v>6015.116</v>
      </c>
      <c r="C36" s="4">
        <v>59.610999999999997</v>
      </c>
      <c r="D36" s="4">
        <f t="shared" si="0"/>
        <v>10090.614148395431</v>
      </c>
      <c r="E36" s="8">
        <f>D36/(Working_Age_Population!B36/1000000)</f>
        <v>63.065589523595847</v>
      </c>
      <c r="F36" s="4">
        <f t="shared" si="1"/>
        <v>4.1441752883682295</v>
      </c>
    </row>
    <row r="37" spans="1:6" x14ac:dyDescent="0.2">
      <c r="A37" s="1">
        <v>33147</v>
      </c>
      <c r="B37" s="4">
        <v>6004.7330000000002</v>
      </c>
      <c r="C37" s="4">
        <v>60.055</v>
      </c>
      <c r="D37" s="4">
        <f t="shared" si="0"/>
        <v>9998.7228373990511</v>
      </c>
      <c r="E37" s="8">
        <f>D37/(Working_Age_Population!B37/1000000)</f>
        <v>62.304714186720247</v>
      </c>
      <c r="F37" s="4">
        <f t="shared" si="1"/>
        <v>4.1320370920593792</v>
      </c>
    </row>
    <row r="38" spans="1:6" x14ac:dyDescent="0.2">
      <c r="A38" s="1">
        <v>33239</v>
      </c>
      <c r="B38" s="4">
        <v>6035.1779999999999</v>
      </c>
      <c r="C38" s="4">
        <v>60.643000000000001</v>
      </c>
      <c r="D38" s="4">
        <f t="shared" si="0"/>
        <v>9951.9779694276331</v>
      </c>
      <c r="E38" s="8">
        <f>D38/(Working_Age_Population!B38/1000000)</f>
        <v>61.925827748931709</v>
      </c>
      <c r="F38" s="4">
        <f t="shared" si="1"/>
        <v>4.1259373422450158</v>
      </c>
    </row>
    <row r="39" spans="1:6" x14ac:dyDescent="0.2">
      <c r="A39" s="1">
        <v>33329</v>
      </c>
      <c r="B39" s="4">
        <v>6126.8620000000001</v>
      </c>
      <c r="C39" s="4">
        <v>61.088000000000001</v>
      </c>
      <c r="D39" s="4">
        <f t="shared" si="0"/>
        <v>10029.567181770561</v>
      </c>
      <c r="E39" s="8">
        <f>D39/(Working_Age_Population!B39/1000000)</f>
        <v>62.266893355487234</v>
      </c>
      <c r="F39" s="4">
        <f t="shared" si="1"/>
        <v>4.1314298777327556</v>
      </c>
    </row>
    <row r="40" spans="1:6" x14ac:dyDescent="0.2">
      <c r="A40" s="1">
        <v>33420</v>
      </c>
      <c r="B40" s="4">
        <v>6205.9369999999999</v>
      </c>
      <c r="C40" s="4">
        <v>61.566000000000003</v>
      </c>
      <c r="D40" s="4">
        <f t="shared" si="0"/>
        <v>10080.1367637982</v>
      </c>
      <c r="E40" s="8">
        <f>D40/(Working_Age_Population!B40/1000000)</f>
        <v>62.46684136363141</v>
      </c>
      <c r="F40" s="4">
        <f t="shared" si="1"/>
        <v>4.1346358777752803</v>
      </c>
    </row>
    <row r="41" spans="1:6" x14ac:dyDescent="0.2">
      <c r="A41" s="1">
        <v>33512</v>
      </c>
      <c r="B41" s="4">
        <v>6264.54</v>
      </c>
      <c r="C41" s="4">
        <v>61.930999999999997</v>
      </c>
      <c r="D41" s="4">
        <f t="shared" si="0"/>
        <v>10115.354184495649</v>
      </c>
      <c r="E41" s="8">
        <f>D41/(Working_Age_Population!B41/1000000)</f>
        <v>62.503939167399253</v>
      </c>
      <c r="F41" s="4">
        <f t="shared" si="1"/>
        <v>4.135229581434646</v>
      </c>
    </row>
    <row r="42" spans="1:6" x14ac:dyDescent="0.2">
      <c r="A42" s="1">
        <v>33604</v>
      </c>
      <c r="B42" s="4">
        <v>6363.1019999999999</v>
      </c>
      <c r="C42" s="4">
        <v>62.161000000000001</v>
      </c>
      <c r="D42" s="4">
        <f t="shared" si="0"/>
        <v>10236.48589951899</v>
      </c>
      <c r="E42" s="8">
        <f>D42/(Working_Age_Population!B42/1000000)</f>
        <v>63.192241350796536</v>
      </c>
      <c r="F42" s="4">
        <f t="shared" si="1"/>
        <v>4.1461815301800007</v>
      </c>
    </row>
    <row r="43" spans="1:6" x14ac:dyDescent="0.2">
      <c r="A43" s="1">
        <v>33695</v>
      </c>
      <c r="B43" s="4">
        <v>6470.7629999999999</v>
      </c>
      <c r="C43" s="4">
        <v>62.534999999999997</v>
      </c>
      <c r="D43" s="4">
        <f t="shared" si="0"/>
        <v>10347.426241304869</v>
      </c>
      <c r="E43" s="8">
        <f>D43/(Working_Age_Population!B43/1000000)</f>
        <v>63.725436587047284</v>
      </c>
      <c r="F43" s="4">
        <f t="shared" si="1"/>
        <v>4.1545838013496921</v>
      </c>
    </row>
    <row r="44" spans="1:6" x14ac:dyDescent="0.2">
      <c r="A44" s="1">
        <v>33786</v>
      </c>
      <c r="B44" s="4">
        <v>6566.6409999999996</v>
      </c>
      <c r="C44" s="4">
        <v>62.841000000000001</v>
      </c>
      <c r="D44" s="4">
        <f t="shared" si="0"/>
        <v>10449.612514122944</v>
      </c>
      <c r="E44" s="8">
        <f>D44/(Working_Age_Population!B44/1000000)</f>
        <v>64.201728858297543</v>
      </c>
      <c r="F44" s="4">
        <f t="shared" si="1"/>
        <v>4.1620301395903008</v>
      </c>
    </row>
    <row r="45" spans="1:6" x14ac:dyDescent="0.2">
      <c r="A45" s="1">
        <v>33878</v>
      </c>
      <c r="B45" s="4">
        <v>6680.8029999999999</v>
      </c>
      <c r="C45" s="4">
        <v>63.273000000000003</v>
      </c>
      <c r="D45" s="4">
        <f t="shared" si="0"/>
        <v>10558.694861947433</v>
      </c>
      <c r="E45" s="8">
        <f>D45/(Working_Age_Population!B45/1000000)</f>
        <v>64.620462188200904</v>
      </c>
      <c r="F45" s="4">
        <f t="shared" si="1"/>
        <v>4.1685311127725209</v>
      </c>
    </row>
    <row r="46" spans="1:6" x14ac:dyDescent="0.2">
      <c r="A46" s="1">
        <v>33970</v>
      </c>
      <c r="B46" s="4">
        <v>6729.4589999999998</v>
      </c>
      <c r="C46" s="4">
        <v>63.628</v>
      </c>
      <c r="D46" s="4">
        <f t="shared" si="0"/>
        <v>10576.254164833092</v>
      </c>
      <c r="E46" s="8">
        <f>D46/(Working_Age_Population!B46/1000000)</f>
        <v>64.678697607037989</v>
      </c>
      <c r="F46" s="4">
        <f t="shared" si="1"/>
        <v>4.1694318985605658</v>
      </c>
    </row>
    <row r="47" spans="1:6" x14ac:dyDescent="0.2">
      <c r="A47" s="1">
        <v>34060</v>
      </c>
      <c r="B47" s="4">
        <v>6808.9390000000003</v>
      </c>
      <c r="C47" s="4">
        <v>64.007000000000005</v>
      </c>
      <c r="D47" s="4">
        <f t="shared" si="0"/>
        <v>10637.80367772275</v>
      </c>
      <c r="E47" s="8">
        <f>D47/(Working_Age_Population!B47/1000000)</f>
        <v>64.878634356771215</v>
      </c>
      <c r="F47" s="4">
        <f t="shared" si="1"/>
        <v>4.172518360830562</v>
      </c>
    </row>
    <row r="48" spans="1:6" x14ac:dyDescent="0.2">
      <c r="A48" s="1">
        <v>34151</v>
      </c>
      <c r="B48" s="4">
        <v>6882.098</v>
      </c>
      <c r="C48" s="4">
        <v>64.387</v>
      </c>
      <c r="D48" s="4">
        <f t="shared" si="0"/>
        <v>10688.645223414664</v>
      </c>
      <c r="E48" s="8">
        <f>D48/(Working_Age_Population!B48/1000000)</f>
        <v>65.032269119353074</v>
      </c>
      <c r="F48" s="4">
        <f t="shared" si="1"/>
        <v>4.1748835946961504</v>
      </c>
    </row>
    <row r="49" spans="1:6" x14ac:dyDescent="0.2">
      <c r="A49" s="1">
        <v>34243</v>
      </c>
      <c r="B49" s="4">
        <v>7013.7380000000003</v>
      </c>
      <c r="C49" s="4">
        <v>64.738</v>
      </c>
      <c r="D49" s="4">
        <f t="shared" si="0"/>
        <v>10834.035651394854</v>
      </c>
      <c r="E49" s="8">
        <f>D49/(Working_Age_Population!B49/1000000)</f>
        <v>65.71373841622426</v>
      </c>
      <c r="F49" s="4">
        <f t="shared" si="1"/>
        <v>4.1853080119443842</v>
      </c>
    </row>
    <row r="50" spans="1:6" x14ac:dyDescent="0.2">
      <c r="A50" s="1">
        <v>34335</v>
      </c>
      <c r="B50" s="4">
        <v>7115.652</v>
      </c>
      <c r="C50" s="4">
        <v>65.048000000000002</v>
      </c>
      <c r="D50" s="4">
        <f t="shared" si="0"/>
        <v>10939.078834091746</v>
      </c>
      <c r="E50" s="8">
        <f>D50/(Working_Age_Population!B50/1000000)</f>
        <v>66.210758335371395</v>
      </c>
      <c r="F50" s="4">
        <f t="shared" si="1"/>
        <v>4.1928429623581209</v>
      </c>
    </row>
    <row r="51" spans="1:6" x14ac:dyDescent="0.2">
      <c r="A51" s="1">
        <v>34425</v>
      </c>
      <c r="B51" s="4">
        <v>7246.9309999999996</v>
      </c>
      <c r="C51" s="4">
        <v>65.361999999999995</v>
      </c>
      <c r="D51" s="4">
        <f t="shared" si="0"/>
        <v>11087.376457268749</v>
      </c>
      <c r="E51" s="8">
        <f>D51/(Working_Age_Population!B51/1000000)</f>
        <v>66.915581061661086</v>
      </c>
      <c r="F51" s="4">
        <f t="shared" si="1"/>
        <v>4.2034318407892215</v>
      </c>
    </row>
    <row r="52" spans="1:6" x14ac:dyDescent="0.2">
      <c r="A52" s="1">
        <v>34516</v>
      </c>
      <c r="B52" s="4">
        <v>7331.0749999999998</v>
      </c>
      <c r="C52" s="4">
        <v>65.736999999999995</v>
      </c>
      <c r="D52" s="4">
        <f t="shared" si="0"/>
        <v>11152.128938040983</v>
      </c>
      <c r="E52" s="8">
        <f>D52/(Working_Age_Population!B52/1000000)</f>
        <v>67.168848010061765</v>
      </c>
      <c r="F52" s="4">
        <f t="shared" si="1"/>
        <v>4.207209568767877</v>
      </c>
    </row>
    <row r="53" spans="1:6" x14ac:dyDescent="0.2">
      <c r="A53" s="1">
        <v>34608</v>
      </c>
      <c r="B53" s="4">
        <v>7455.2879999999996</v>
      </c>
      <c r="C53" s="4">
        <v>66.093000000000004</v>
      </c>
      <c r="D53" s="4">
        <f t="shared" si="0"/>
        <v>11279.996368753118</v>
      </c>
      <c r="E53" s="8">
        <f>D53/(Working_Age_Population!B53/1000000)</f>
        <v>67.828957735288498</v>
      </c>
      <c r="F53" s="4">
        <f t="shared" si="1"/>
        <v>4.2169892090031125</v>
      </c>
    </row>
    <row r="54" spans="1:6" x14ac:dyDescent="0.2">
      <c r="A54" s="1">
        <v>34700</v>
      </c>
      <c r="B54" s="4">
        <v>7522.2889999999998</v>
      </c>
      <c r="C54" s="4">
        <v>66.451999999999998</v>
      </c>
      <c r="D54" s="4">
        <f t="shared" si="0"/>
        <v>11319.883524950341</v>
      </c>
      <c r="E54" s="8">
        <f>D54/(Working_Age_Population!B54/1000000)</f>
        <v>67.966456413094363</v>
      </c>
      <c r="F54" s="4">
        <f t="shared" si="1"/>
        <v>4.2190142954268044</v>
      </c>
    </row>
    <row r="55" spans="1:6" x14ac:dyDescent="0.2">
      <c r="A55" s="1">
        <v>34790</v>
      </c>
      <c r="B55" s="4">
        <v>7580.9970000000003</v>
      </c>
      <c r="C55" s="4">
        <v>66.771000000000001</v>
      </c>
      <c r="D55" s="4">
        <f t="shared" si="0"/>
        <v>11353.72691737431</v>
      </c>
      <c r="E55" s="8">
        <f>D55/(Working_Age_Population!B55/1000000)</f>
        <v>67.99440962421501</v>
      </c>
      <c r="F55" s="4">
        <f t="shared" si="1"/>
        <v>4.2194254903879607</v>
      </c>
    </row>
    <row r="56" spans="1:6" x14ac:dyDescent="0.2">
      <c r="A56" s="1">
        <v>34881</v>
      </c>
      <c r="B56" s="4">
        <v>7683.125</v>
      </c>
      <c r="C56" s="4">
        <v>67.099999999999994</v>
      </c>
      <c r="D56" s="4">
        <f t="shared" si="0"/>
        <v>11450.260804769001</v>
      </c>
      <c r="E56" s="8">
        <f>D56/(Working_Age_Population!B56/1000000)</f>
        <v>68.429584601656259</v>
      </c>
      <c r="F56" s="4">
        <f t="shared" si="1"/>
        <v>4.2258052545332419</v>
      </c>
    </row>
    <row r="57" spans="1:6" x14ac:dyDescent="0.2">
      <c r="A57" s="1">
        <v>34973</v>
      </c>
      <c r="B57" s="4">
        <v>7772.5860000000002</v>
      </c>
      <c r="C57" s="4">
        <v>67.423000000000002</v>
      </c>
      <c r="D57" s="4">
        <f t="shared" si="0"/>
        <v>11528.092787327767</v>
      </c>
      <c r="E57" s="8">
        <f>D57/(Working_Age_Population!B57/1000000)</f>
        <v>68.711242317023903</v>
      </c>
      <c r="F57" s="4">
        <f t="shared" si="1"/>
        <v>4.229912829464948</v>
      </c>
    </row>
    <row r="58" spans="1:6" x14ac:dyDescent="0.2">
      <c r="A58" s="1">
        <v>35065</v>
      </c>
      <c r="B58" s="4">
        <v>7868.4679999999998</v>
      </c>
      <c r="C58" s="4">
        <v>67.747</v>
      </c>
      <c r="D58" s="4">
        <f t="shared" si="0"/>
        <v>11614.489202473911</v>
      </c>
      <c r="E58" s="8">
        <f>D58/(Working_Age_Population!B58/1000000)</f>
        <v>69.091805897382159</v>
      </c>
      <c r="F58" s="4">
        <f t="shared" si="1"/>
        <v>4.2354361404914549</v>
      </c>
    </row>
    <row r="59" spans="1:6" x14ac:dyDescent="0.2">
      <c r="A59" s="1">
        <v>35156</v>
      </c>
      <c r="B59" s="4">
        <v>8032.84</v>
      </c>
      <c r="C59" s="4">
        <v>68.028000000000006</v>
      </c>
      <c r="D59" s="4">
        <f t="shared" si="0"/>
        <v>11808.137825601223</v>
      </c>
      <c r="E59" s="8">
        <f>D59/(Working_Age_Population!B59/1000000)</f>
        <v>70.020138474718777</v>
      </c>
      <c r="F59" s="4">
        <f t="shared" si="1"/>
        <v>4.2487828931697909</v>
      </c>
    </row>
    <row r="60" spans="1:6" x14ac:dyDescent="0.2">
      <c r="A60" s="1">
        <v>35247</v>
      </c>
      <c r="B60" s="4">
        <v>8131.4080000000004</v>
      </c>
      <c r="C60" s="4">
        <v>68.251000000000005</v>
      </c>
      <c r="D60" s="4">
        <f t="shared" si="0"/>
        <v>11913.976351994841</v>
      </c>
      <c r="E60" s="8">
        <f>D60/(Working_Age_Population!B60/1000000)</f>
        <v>70.485237227013698</v>
      </c>
      <c r="F60" s="4">
        <f t="shared" si="1"/>
        <v>4.2554032868554987</v>
      </c>
    </row>
    <row r="61" spans="1:6" x14ac:dyDescent="0.2">
      <c r="A61" s="1">
        <v>35339</v>
      </c>
      <c r="B61" s="4">
        <v>8259.7710000000006</v>
      </c>
      <c r="C61" s="4">
        <v>68.614999999999995</v>
      </c>
      <c r="D61" s="4">
        <f t="shared" si="0"/>
        <v>12037.85032427312</v>
      </c>
      <c r="E61" s="8">
        <f>D61/(Working_Age_Population!B61/1000000)</f>
        <v>70.973580757024308</v>
      </c>
      <c r="F61" s="4">
        <f t="shared" si="1"/>
        <v>4.2623077057804402</v>
      </c>
    </row>
    <row r="62" spans="1:6" x14ac:dyDescent="0.2">
      <c r="A62" s="1">
        <v>35431</v>
      </c>
      <c r="B62" s="4">
        <v>8362.6550000000007</v>
      </c>
      <c r="C62" s="4">
        <v>69.025000000000006</v>
      </c>
      <c r="D62" s="4">
        <f t="shared" si="0"/>
        <v>12115.400217312568</v>
      </c>
      <c r="E62" s="8">
        <f>D62/(Working_Age_Population!B62/1000000)</f>
        <v>71.070570876474264</v>
      </c>
      <c r="F62" s="4">
        <f t="shared" si="1"/>
        <v>4.263673339400806</v>
      </c>
    </row>
    <row r="63" spans="1:6" x14ac:dyDescent="0.2">
      <c r="A63" s="1">
        <v>35521</v>
      </c>
      <c r="B63" s="4">
        <v>8518.8250000000007</v>
      </c>
      <c r="C63" s="4">
        <v>69.162000000000006</v>
      </c>
      <c r="D63" s="4">
        <f t="shared" si="0"/>
        <v>12317.204534281831</v>
      </c>
      <c r="E63" s="8">
        <f>D63/(Working_Age_Population!B63/1000000)</f>
        <v>72.069027362048487</v>
      </c>
      <c r="F63" s="4">
        <f t="shared" si="1"/>
        <v>4.2776243731057013</v>
      </c>
    </row>
    <row r="64" spans="1:6" x14ac:dyDescent="0.2">
      <c r="A64" s="1">
        <v>35612</v>
      </c>
      <c r="B64" s="4">
        <v>8662.8230000000003</v>
      </c>
      <c r="C64" s="4">
        <v>69.463999999999999</v>
      </c>
      <c r="D64" s="4">
        <f t="shared" si="0"/>
        <v>12470.953299550847</v>
      </c>
      <c r="E64" s="8">
        <f>D64/(Working_Age_Population!B64/1000000)</f>
        <v>72.78161877577665</v>
      </c>
      <c r="F64" s="4">
        <f t="shared" si="1"/>
        <v>4.2874634339781119</v>
      </c>
    </row>
    <row r="65" spans="1:6" x14ac:dyDescent="0.2">
      <c r="A65" s="1">
        <v>35704</v>
      </c>
      <c r="B65" s="4">
        <v>8765.9069999999992</v>
      </c>
      <c r="C65" s="4">
        <v>69.694999999999993</v>
      </c>
      <c r="D65" s="4">
        <f t="shared" si="0"/>
        <v>12577.52636487553</v>
      </c>
      <c r="E65" s="8">
        <f>D65/(Working_Age_Population!B65/1000000)</f>
        <v>73.197684103315765</v>
      </c>
      <c r="F65" s="4">
        <f t="shared" si="1"/>
        <v>4.2931637825339308</v>
      </c>
    </row>
    <row r="66" spans="1:6" x14ac:dyDescent="0.2">
      <c r="A66" s="1">
        <v>35796</v>
      </c>
      <c r="B66" s="4">
        <v>8866.48</v>
      </c>
      <c r="C66" s="4">
        <v>69.793999999999997</v>
      </c>
      <c r="D66" s="4">
        <f t="shared" si="0"/>
        <v>12703.78542568129</v>
      </c>
      <c r="E66" s="8">
        <f>D66/(Working_Age_Population!B66/1000000)</f>
        <v>73.745412555758008</v>
      </c>
      <c r="F66" s="4">
        <f t="shared" si="1"/>
        <v>4.300618790651475</v>
      </c>
    </row>
    <row r="67" spans="1:6" x14ac:dyDescent="0.2">
      <c r="A67" s="1">
        <v>35886</v>
      </c>
      <c r="B67" s="4">
        <v>8969.6990000000005</v>
      </c>
      <c r="C67" s="4">
        <v>69.959000000000003</v>
      </c>
      <c r="D67" s="4">
        <f t="shared" ref="D67:D130" si="2">B67/(C67)*100</f>
        <v>12821.365371145956</v>
      </c>
      <c r="E67" s="8">
        <f>D67/(Working_Age_Population!B67/1000000)</f>
        <v>74.234188968688642</v>
      </c>
      <c r="F67" s="4">
        <f t="shared" ref="F67:F130" si="3">LN(E67)</f>
        <v>4.307224811824546</v>
      </c>
    </row>
    <row r="68" spans="1:6" x14ac:dyDescent="0.2">
      <c r="A68" s="1">
        <v>35977</v>
      </c>
      <c r="B68" s="4">
        <v>9121.0969999999998</v>
      </c>
      <c r="C68" s="4">
        <v>70.254999999999995</v>
      </c>
      <c r="D68" s="4">
        <f t="shared" si="2"/>
        <v>12982.843925699239</v>
      </c>
      <c r="E68" s="8">
        <f>D68/(Working_Age_Population!B68/1000000)</f>
        <v>74.929380681048329</v>
      </c>
      <c r="F68" s="4">
        <f t="shared" si="3"/>
        <v>4.3165460790417587</v>
      </c>
    </row>
    <row r="69" spans="1:6" x14ac:dyDescent="0.2">
      <c r="A69" s="1">
        <v>36069</v>
      </c>
      <c r="B69" s="4">
        <v>9293.991</v>
      </c>
      <c r="C69" s="4">
        <v>70.453000000000003</v>
      </c>
      <c r="D69" s="4">
        <f t="shared" si="2"/>
        <v>13191.760464423089</v>
      </c>
      <c r="E69" s="8">
        <f>D69/(Working_Age_Population!B69/1000000)</f>
        <v>75.937845037108858</v>
      </c>
      <c r="F69" s="4">
        <f t="shared" si="3"/>
        <v>4.3299151772230982</v>
      </c>
    </row>
    <row r="70" spans="1:6" x14ac:dyDescent="0.2">
      <c r="A70" s="1">
        <v>36161</v>
      </c>
      <c r="B70" s="4">
        <v>9411.6820000000007</v>
      </c>
      <c r="C70" s="4">
        <v>70.682000000000002</v>
      </c>
      <c r="D70" s="4">
        <f t="shared" si="2"/>
        <v>13315.528706035482</v>
      </c>
      <c r="E70" s="8">
        <f>D70/(Working_Age_Population!B70/1000000)</f>
        <v>76.297980713217811</v>
      </c>
      <c r="F70" s="4">
        <f t="shared" si="3"/>
        <v>4.3346464728447627</v>
      </c>
    </row>
    <row r="71" spans="1:6" x14ac:dyDescent="0.2">
      <c r="A71" s="1">
        <v>36251</v>
      </c>
      <c r="B71" s="4">
        <v>9526.2099999999991</v>
      </c>
      <c r="C71" s="4">
        <v>70.948999999999998</v>
      </c>
      <c r="D71" s="4">
        <f t="shared" si="2"/>
        <v>13426.841815952304</v>
      </c>
      <c r="E71" s="8">
        <f>D71/(Working_Age_Population!B71/1000000)</f>
        <v>76.717985983225731</v>
      </c>
      <c r="F71" s="4">
        <f t="shared" si="3"/>
        <v>4.340136178708522</v>
      </c>
    </row>
    <row r="72" spans="1:6" x14ac:dyDescent="0.2">
      <c r="A72" s="1">
        <v>36342</v>
      </c>
      <c r="B72" s="4">
        <v>9686.6260000000002</v>
      </c>
      <c r="C72" s="4">
        <v>71.2</v>
      </c>
      <c r="D72" s="4">
        <f t="shared" si="2"/>
        <v>13604.811797752807</v>
      </c>
      <c r="E72" s="8">
        <f>D72/(Working_Age_Population!B72/1000000)</f>
        <v>77.486063081617672</v>
      </c>
      <c r="F72" s="4">
        <f t="shared" si="3"/>
        <v>4.350098088982798</v>
      </c>
    </row>
    <row r="73" spans="1:6" x14ac:dyDescent="0.2">
      <c r="A73" s="1">
        <v>36434</v>
      </c>
      <c r="B73" s="4">
        <v>9900.1689999999999</v>
      </c>
      <c r="C73" s="4">
        <v>71.594999999999999</v>
      </c>
      <c r="D73" s="4">
        <f t="shared" si="2"/>
        <v>13828.017319645227</v>
      </c>
      <c r="E73" s="8">
        <f>D73/(Working_Age_Population!B73/1000000)</f>
        <v>78.542932278930579</v>
      </c>
      <c r="F73" s="4">
        <f t="shared" si="3"/>
        <v>4.3636453833005362</v>
      </c>
    </row>
    <row r="74" spans="1:6" x14ac:dyDescent="0.2">
      <c r="A74" s="1">
        <v>36526</v>
      </c>
      <c r="B74" s="4">
        <v>10002.179</v>
      </c>
      <c r="C74" s="4">
        <v>72.070999999999998</v>
      </c>
      <c r="D74" s="4">
        <f t="shared" si="2"/>
        <v>13878.229801168294</v>
      </c>
      <c r="E74" s="8">
        <f>D74/(Working_Age_Population!B74/1000000)</f>
        <v>77.842946973487926</v>
      </c>
      <c r="F74" s="4">
        <f t="shared" si="3"/>
        <v>4.3546932965327345</v>
      </c>
    </row>
    <row r="75" spans="1:6" x14ac:dyDescent="0.2">
      <c r="A75" s="1">
        <v>36617</v>
      </c>
      <c r="B75" s="4">
        <v>10247.719999999999</v>
      </c>
      <c r="C75" s="4">
        <v>72.52</v>
      </c>
      <c r="D75" s="4">
        <f t="shared" si="2"/>
        <v>14130.888030888031</v>
      </c>
      <c r="E75" s="8">
        <f>D75/(Working_Age_Population!B75/1000000)</f>
        <v>79.035923182179118</v>
      </c>
      <c r="F75" s="4">
        <f t="shared" si="3"/>
        <v>4.3699024729365261</v>
      </c>
    </row>
    <row r="76" spans="1:6" x14ac:dyDescent="0.2">
      <c r="A76" s="1">
        <v>36708</v>
      </c>
      <c r="B76" s="4">
        <v>10318.165000000001</v>
      </c>
      <c r="C76" s="4">
        <v>72.944000000000003</v>
      </c>
      <c r="D76" s="4">
        <f t="shared" si="2"/>
        <v>14145.323810046062</v>
      </c>
      <c r="E76" s="8">
        <f>D76/(Working_Age_Population!B76/1000000)</f>
        <v>78.813750388765555</v>
      </c>
      <c r="F76" s="4">
        <f t="shared" si="3"/>
        <v>4.3670874789603067</v>
      </c>
    </row>
    <row r="77" spans="1:6" x14ac:dyDescent="0.2">
      <c r="A77" s="1">
        <v>36800</v>
      </c>
      <c r="B77" s="4">
        <v>10435.744000000001</v>
      </c>
      <c r="C77" s="4">
        <v>73.337000000000003</v>
      </c>
      <c r="D77" s="4">
        <f t="shared" si="2"/>
        <v>14229.848507574621</v>
      </c>
      <c r="E77" s="8">
        <f>D77/(Working_Age_Population!B77/1000000)</f>
        <v>79.085132269650259</v>
      </c>
      <c r="F77" s="4">
        <f t="shared" si="3"/>
        <v>4.3705248959138991</v>
      </c>
    </row>
    <row r="78" spans="1:6" x14ac:dyDescent="0.2">
      <c r="A78" s="1">
        <v>36892</v>
      </c>
      <c r="B78" s="4">
        <v>10470.231</v>
      </c>
      <c r="C78" s="4">
        <v>73.822000000000003</v>
      </c>
      <c r="D78" s="4">
        <f t="shared" si="2"/>
        <v>14183.076860556474</v>
      </c>
      <c r="E78" s="8">
        <f>D78/(Working_Age_Population!B78/1000000)</f>
        <v>78.584396239607543</v>
      </c>
      <c r="F78" s="4">
        <f t="shared" si="3"/>
        <v>4.3641731586026484</v>
      </c>
    </row>
    <row r="79" spans="1:6" x14ac:dyDescent="0.2">
      <c r="A79" s="1">
        <v>36982</v>
      </c>
      <c r="B79" s="4">
        <v>10599</v>
      </c>
      <c r="C79" s="4">
        <v>74.266000000000005</v>
      </c>
      <c r="D79" s="4">
        <f t="shared" si="2"/>
        <v>14271.672097595128</v>
      </c>
      <c r="E79" s="8">
        <f>D79/(Working_Age_Population!B79/1000000)</f>
        <v>78.817258113310217</v>
      </c>
      <c r="F79" s="4">
        <f t="shared" si="3"/>
        <v>4.3671319844745273</v>
      </c>
    </row>
    <row r="80" spans="1:6" x14ac:dyDescent="0.2">
      <c r="A80" s="1">
        <v>37073</v>
      </c>
      <c r="B80" s="4">
        <v>10598.02</v>
      </c>
      <c r="C80" s="4">
        <v>74.558000000000007</v>
      </c>
      <c r="D80" s="4">
        <f t="shared" si="2"/>
        <v>14214.463907293648</v>
      </c>
      <c r="E80" s="8">
        <f>D80/(Working_Age_Population!B80/1000000)</f>
        <v>78.178224922905457</v>
      </c>
      <c r="F80" s="4">
        <f t="shared" si="3"/>
        <v>4.3589911551045581</v>
      </c>
    </row>
    <row r="81" spans="1:6" x14ac:dyDescent="0.2">
      <c r="A81" s="1">
        <v>37165</v>
      </c>
      <c r="B81" s="4">
        <v>10660.465</v>
      </c>
      <c r="C81" s="4">
        <v>74.792000000000002</v>
      </c>
      <c r="D81" s="4">
        <f t="shared" si="2"/>
        <v>14253.482992833457</v>
      </c>
      <c r="E81" s="8">
        <f>D81/(Working_Age_Population!B81/1000000)</f>
        <v>78.104857513294633</v>
      </c>
      <c r="F81" s="4">
        <f t="shared" si="3"/>
        <v>4.3580522509844597</v>
      </c>
    </row>
    <row r="82" spans="1:6" x14ac:dyDescent="0.2">
      <c r="A82" s="1">
        <v>37257</v>
      </c>
      <c r="B82" s="4">
        <v>10783.5</v>
      </c>
      <c r="C82" s="4">
        <v>75.027000000000001</v>
      </c>
      <c r="D82" s="4">
        <f t="shared" si="2"/>
        <v>14372.825782718221</v>
      </c>
      <c r="E82" s="8">
        <f>D82/(Working_Age_Population!B82/1000000)</f>
        <v>78.603816663895131</v>
      </c>
      <c r="F82" s="4">
        <f t="shared" si="3"/>
        <v>4.3644202563210799</v>
      </c>
    </row>
    <row r="83" spans="1:6" x14ac:dyDescent="0.2">
      <c r="A83" s="1">
        <v>37347</v>
      </c>
      <c r="B83" s="4">
        <v>10887.46</v>
      </c>
      <c r="C83" s="4">
        <v>75.289000000000001</v>
      </c>
      <c r="D83" s="4">
        <f t="shared" si="2"/>
        <v>14460.890701164843</v>
      </c>
      <c r="E83" s="8">
        <f>D83/(Working_Age_Population!B83/1000000)</f>
        <v>78.813746651227547</v>
      </c>
      <c r="F83" s="4">
        <f t="shared" si="3"/>
        <v>4.3670874315378958</v>
      </c>
    </row>
    <row r="84" spans="1:6" x14ac:dyDescent="0.2">
      <c r="A84" s="1">
        <v>37438</v>
      </c>
      <c r="B84" s="4">
        <v>10984.04</v>
      </c>
      <c r="C84" s="4">
        <v>75.650000000000006</v>
      </c>
      <c r="D84" s="4">
        <f t="shared" si="2"/>
        <v>14519.550561797752</v>
      </c>
      <c r="E84" s="8">
        <f>D84/(Working_Age_Population!B84/1000000)</f>
        <v>78.873521750903805</v>
      </c>
      <c r="F84" s="4">
        <f t="shared" si="3"/>
        <v>4.3678455790173354</v>
      </c>
    </row>
    <row r="85" spans="1:6" x14ac:dyDescent="0.2">
      <c r="A85" s="1">
        <v>37530</v>
      </c>
      <c r="B85" s="4">
        <v>11061.433000000001</v>
      </c>
      <c r="C85" s="4">
        <v>76.088999999999999</v>
      </c>
      <c r="D85" s="4">
        <f t="shared" si="2"/>
        <v>14537.492935904009</v>
      </c>
      <c r="E85" s="8">
        <f>D85/(Working_Age_Population!B85/1000000)</f>
        <v>78.701534094649944</v>
      </c>
      <c r="F85" s="4">
        <f t="shared" si="3"/>
        <v>4.3656626481768281</v>
      </c>
    </row>
    <row r="86" spans="1:6" x14ac:dyDescent="0.2">
      <c r="A86" s="1">
        <v>37622</v>
      </c>
      <c r="B86" s="4">
        <v>11174.129000000001</v>
      </c>
      <c r="C86" s="4">
        <v>76.460999999999999</v>
      </c>
      <c r="D86" s="4">
        <f t="shared" si="2"/>
        <v>14614.15492865644</v>
      </c>
      <c r="E86" s="8">
        <f>D86/(Working_Age_Population!B86/1000000)</f>
        <v>78.627384908268013</v>
      </c>
      <c r="F86" s="4">
        <f t="shared" si="3"/>
        <v>4.3647200472571503</v>
      </c>
    </row>
    <row r="87" spans="1:6" x14ac:dyDescent="0.2">
      <c r="A87" s="1">
        <v>37712</v>
      </c>
      <c r="B87" s="4">
        <v>11312.766</v>
      </c>
      <c r="C87" s="4">
        <v>76.73</v>
      </c>
      <c r="D87" s="4">
        <f t="shared" si="2"/>
        <v>14743.602241626482</v>
      </c>
      <c r="E87" s="8">
        <f>D87/(Working_Age_Population!B87/1000000)</f>
        <v>78.975686009711765</v>
      </c>
      <c r="F87" s="4">
        <f t="shared" si="3"/>
        <v>4.3691400330665253</v>
      </c>
    </row>
    <row r="88" spans="1:6" x14ac:dyDescent="0.2">
      <c r="A88" s="1">
        <v>37803</v>
      </c>
      <c r="B88" s="4">
        <v>11566.669</v>
      </c>
      <c r="C88" s="4">
        <v>77.168999999999997</v>
      </c>
      <c r="D88" s="4">
        <f t="shared" si="2"/>
        <v>14988.750664126786</v>
      </c>
      <c r="E88" s="8">
        <f>D88/(Working_Age_Population!B88/1000000)</f>
        <v>79.996434947135683</v>
      </c>
      <c r="F88" s="4">
        <f t="shared" si="3"/>
        <v>4.3819820705201105</v>
      </c>
    </row>
    <row r="89" spans="1:6" x14ac:dyDescent="0.2">
      <c r="A89" s="1">
        <v>37895</v>
      </c>
      <c r="B89" s="4">
        <v>11772.234</v>
      </c>
      <c r="C89" s="4">
        <v>77.638999999999996</v>
      </c>
      <c r="D89" s="4">
        <f t="shared" si="2"/>
        <v>15162.784167750746</v>
      </c>
      <c r="E89" s="8">
        <f>D89/(Working_Age_Population!B89/1000000)</f>
        <v>80.702029446492944</v>
      </c>
      <c r="F89" s="4">
        <f t="shared" si="3"/>
        <v>4.390763722995545</v>
      </c>
    </row>
    <row r="90" spans="1:6" x14ac:dyDescent="0.2">
      <c r="A90" s="1">
        <v>37987</v>
      </c>
      <c r="B90" s="4">
        <v>11923.447</v>
      </c>
      <c r="C90" s="4">
        <v>78.192999999999998</v>
      </c>
      <c r="D90" s="4">
        <f t="shared" si="2"/>
        <v>15248.739657002545</v>
      </c>
      <c r="E90" s="8">
        <f>D90/(Working_Age_Population!B90/1000000)</f>
        <v>81.181667805952799</v>
      </c>
      <c r="F90" s="4">
        <f t="shared" si="3"/>
        <v>4.3966894557421252</v>
      </c>
    </row>
    <row r="91" spans="1:6" x14ac:dyDescent="0.2">
      <c r="A91" s="1">
        <v>38078</v>
      </c>
      <c r="B91" s="4">
        <v>12112.815000000001</v>
      </c>
      <c r="C91" s="4">
        <v>78.823999999999998</v>
      </c>
      <c r="D91" s="4">
        <f t="shared" si="2"/>
        <v>15366.912361717243</v>
      </c>
      <c r="E91" s="8">
        <f>D91/(Working_Age_Population!B91/1000000)</f>
        <v>81.513663316888341</v>
      </c>
      <c r="F91" s="4">
        <f t="shared" si="3"/>
        <v>4.4007706542554308</v>
      </c>
    </row>
    <row r="92" spans="1:6" x14ac:dyDescent="0.2">
      <c r="A92" s="1">
        <v>38169</v>
      </c>
      <c r="B92" s="4">
        <v>12305.307000000001</v>
      </c>
      <c r="C92" s="4">
        <v>79.323999999999998</v>
      </c>
      <c r="D92" s="4">
        <f t="shared" si="2"/>
        <v>15512.716201906107</v>
      </c>
      <c r="E92" s="8">
        <f>D92/(Working_Age_Population!B92/1000000)</f>
        <v>82.064692770266163</v>
      </c>
      <c r="F92" s="4">
        <f t="shared" si="3"/>
        <v>4.4075078724404158</v>
      </c>
    </row>
    <row r="93" spans="1:6" x14ac:dyDescent="0.2">
      <c r="A93" s="1">
        <v>38261</v>
      </c>
      <c r="B93" s="4">
        <v>12527.214</v>
      </c>
      <c r="C93" s="4">
        <v>79.938999999999993</v>
      </c>
      <c r="D93" s="4">
        <f t="shared" si="2"/>
        <v>15670.966612041684</v>
      </c>
      <c r="E93" s="8">
        <f>D93/(Working_Age_Population!B93/1000000)</f>
        <v>82.629505255596172</v>
      </c>
      <c r="F93" s="4">
        <f t="shared" si="3"/>
        <v>4.4143668232281001</v>
      </c>
    </row>
    <row r="94" spans="1:6" x14ac:dyDescent="0.2">
      <c r="A94" s="1">
        <v>38353</v>
      </c>
      <c r="B94" s="4">
        <v>12767.286</v>
      </c>
      <c r="C94" s="4">
        <v>80.578000000000003</v>
      </c>
      <c r="D94" s="4">
        <f t="shared" si="2"/>
        <v>15844.630047903895</v>
      </c>
      <c r="E94" s="8">
        <f>D94/(Working_Age_Population!B94/1000000)</f>
        <v>83.296720987072817</v>
      </c>
      <c r="F94" s="4">
        <f t="shared" si="3"/>
        <v>4.4224091844973321</v>
      </c>
    </row>
    <row r="95" spans="1:6" x14ac:dyDescent="0.2">
      <c r="A95" s="1">
        <v>38443</v>
      </c>
      <c r="B95" s="4">
        <v>12922.656000000001</v>
      </c>
      <c r="C95" s="4">
        <v>81.158000000000001</v>
      </c>
      <c r="D95" s="4">
        <f t="shared" si="2"/>
        <v>15922.836935360656</v>
      </c>
      <c r="E95" s="8">
        <f>D95/(Working_Age_Population!B95/1000000)</f>
        <v>83.501090726721401</v>
      </c>
      <c r="F95" s="4">
        <f t="shared" si="3"/>
        <v>4.4248596943669609</v>
      </c>
    </row>
    <row r="96" spans="1:6" x14ac:dyDescent="0.2">
      <c r="A96" s="1">
        <v>38534</v>
      </c>
      <c r="B96" s="4">
        <v>13142.642</v>
      </c>
      <c r="C96" s="4">
        <v>81.897999999999996</v>
      </c>
      <c r="D96" s="4">
        <f t="shared" si="2"/>
        <v>16047.573811326285</v>
      </c>
      <c r="E96" s="8">
        <f>D96/(Working_Age_Population!B96/1000000)</f>
        <v>83.913197018523221</v>
      </c>
      <c r="F96" s="4">
        <f t="shared" si="3"/>
        <v>4.4297828957225294</v>
      </c>
    </row>
    <row r="97" spans="1:6" x14ac:dyDescent="0.2">
      <c r="A97" s="1">
        <v>38626</v>
      </c>
      <c r="B97" s="4">
        <v>13324.204</v>
      </c>
      <c r="C97" s="4">
        <v>82.570999999999998</v>
      </c>
      <c r="D97" s="4">
        <f t="shared" si="2"/>
        <v>16136.662993060518</v>
      </c>
      <c r="E97" s="8">
        <f>D97/(Working_Age_Population!B97/1000000)</f>
        <v>84.064209336393674</v>
      </c>
      <c r="F97" s="4">
        <f t="shared" si="3"/>
        <v>4.4315809037026561</v>
      </c>
    </row>
    <row r="98" spans="1:6" x14ac:dyDescent="0.2">
      <c r="A98" s="1">
        <v>38718</v>
      </c>
      <c r="B98" s="4">
        <v>13599.16</v>
      </c>
      <c r="C98" s="4">
        <v>83.156000000000006</v>
      </c>
      <c r="D98" s="4">
        <f t="shared" si="2"/>
        <v>16353.792871229976</v>
      </c>
      <c r="E98" s="8">
        <f>D98/(Working_Age_Population!B98/1000000)</f>
        <v>84.960991278997454</v>
      </c>
      <c r="F98" s="4">
        <f t="shared" si="3"/>
        <v>4.4421922250220485</v>
      </c>
    </row>
    <row r="99" spans="1:6" x14ac:dyDescent="0.2">
      <c r="A99" s="1">
        <v>38808</v>
      </c>
      <c r="B99" s="4">
        <v>13753.424000000001</v>
      </c>
      <c r="C99" s="4">
        <v>83.882000000000005</v>
      </c>
      <c r="D99" s="4">
        <f t="shared" si="2"/>
        <v>16396.156505567345</v>
      </c>
      <c r="E99" s="8">
        <f>D99/(Working_Age_Population!B99/1000000)</f>
        <v>84.967444712843928</v>
      </c>
      <c r="F99" s="4">
        <f t="shared" si="3"/>
        <v>4.442268179747483</v>
      </c>
    </row>
    <row r="100" spans="1:6" x14ac:dyDescent="0.2">
      <c r="A100" s="1">
        <v>38899</v>
      </c>
      <c r="B100" s="4">
        <v>13870.188</v>
      </c>
      <c r="C100" s="4">
        <v>84.468000000000004</v>
      </c>
      <c r="D100" s="4">
        <f t="shared" si="2"/>
        <v>16420.642136667142</v>
      </c>
      <c r="E100" s="8">
        <f>D100/(Working_Age_Population!B100/1000000)</f>
        <v>84.860512456041988</v>
      </c>
      <c r="F100" s="4">
        <f t="shared" si="3"/>
        <v>4.4410088785968833</v>
      </c>
    </row>
    <row r="101" spans="1:6" x14ac:dyDescent="0.2">
      <c r="A101" s="1">
        <v>38991</v>
      </c>
      <c r="B101" s="4">
        <v>14039.56</v>
      </c>
      <c r="C101" s="4">
        <v>84.77</v>
      </c>
      <c r="D101" s="4">
        <f t="shared" si="2"/>
        <v>16561.944083991977</v>
      </c>
      <c r="E101" s="8">
        <f>D101/(Working_Age_Population!B101/1000000)</f>
        <v>85.410851091742941</v>
      </c>
      <c r="F101" s="4">
        <f t="shared" si="3"/>
        <v>4.4474731546870396</v>
      </c>
    </row>
    <row r="102" spans="1:6" x14ac:dyDescent="0.2">
      <c r="A102" s="1">
        <v>39083</v>
      </c>
      <c r="B102" s="4">
        <v>14215.651</v>
      </c>
      <c r="C102" s="4">
        <v>85.575999999999993</v>
      </c>
      <c r="D102" s="4">
        <f t="shared" si="2"/>
        <v>16611.726418622045</v>
      </c>
      <c r="E102" s="8">
        <f>D102/(Working_Age_Population!B102/1000000)</f>
        <v>85.182341587307832</v>
      </c>
      <c r="F102" s="4">
        <f t="shared" si="3"/>
        <v>4.4447941539893554</v>
      </c>
    </row>
    <row r="103" spans="1:6" x14ac:dyDescent="0.2">
      <c r="A103" s="1">
        <v>39173</v>
      </c>
      <c r="B103" s="4">
        <v>14402.082</v>
      </c>
      <c r="C103" s="4">
        <v>86.171000000000006</v>
      </c>
      <c r="D103" s="4">
        <f t="shared" si="2"/>
        <v>16713.374569170603</v>
      </c>
      <c r="E103" s="8">
        <f>D103/(Working_Age_Population!B103/1000000)</f>
        <v>85.516594327996089</v>
      </c>
      <c r="F103" s="4">
        <f t="shared" si="3"/>
        <v>4.4487104428180766</v>
      </c>
    </row>
    <row r="104" spans="1:6" x14ac:dyDescent="0.2">
      <c r="A104" s="1">
        <v>39264</v>
      </c>
      <c r="B104" s="4">
        <v>14564.117</v>
      </c>
      <c r="C104" s="4">
        <v>86.641999999999996</v>
      </c>
      <c r="D104" s="4">
        <f t="shared" si="2"/>
        <v>16809.534636781238</v>
      </c>
      <c r="E104" s="8">
        <f>D104/(Working_Age_Population!B104/1000000)</f>
        <v>85.78500526506005</v>
      </c>
      <c r="F104" s="4">
        <f t="shared" si="3"/>
        <v>4.4518442274104535</v>
      </c>
    </row>
    <row r="105" spans="1:6" x14ac:dyDescent="0.2">
      <c r="A105" s="1">
        <v>39356</v>
      </c>
      <c r="B105" s="4">
        <v>14715.058000000001</v>
      </c>
      <c r="C105" s="4">
        <v>86.992999999999995</v>
      </c>
      <c r="D105" s="4">
        <f t="shared" si="2"/>
        <v>16915.220764889131</v>
      </c>
      <c r="E105" s="8">
        <f>D105/(Working_Age_Population!B105/1000000)</f>
        <v>86.199718624599299</v>
      </c>
      <c r="F105" s="4">
        <f t="shared" si="3"/>
        <v>4.4566669134485348</v>
      </c>
    </row>
    <row r="106" spans="1:6" x14ac:dyDescent="0.2">
      <c r="A106" s="1">
        <v>39448</v>
      </c>
      <c r="B106" s="4">
        <v>14706.538</v>
      </c>
      <c r="C106" s="4">
        <v>87.314999999999998</v>
      </c>
      <c r="D106" s="4">
        <f t="shared" si="2"/>
        <v>16843.083089961634</v>
      </c>
      <c r="E106" s="8">
        <f>D106/(Working_Age_Population!B106/1000000)</f>
        <v>85.837515740320796</v>
      </c>
      <c r="F106" s="4">
        <f t="shared" si="3"/>
        <v>4.4524561573202543</v>
      </c>
    </row>
    <row r="107" spans="1:6" x14ac:dyDescent="0.2">
      <c r="A107" s="1">
        <v>39539</v>
      </c>
      <c r="B107" s="4">
        <v>14865.700999999999</v>
      </c>
      <c r="C107" s="4">
        <v>87.738</v>
      </c>
      <c r="D107" s="4">
        <f t="shared" si="2"/>
        <v>16943.286831247577</v>
      </c>
      <c r="E107" s="8">
        <f>D107/(Working_Age_Population!B107/1000000)</f>
        <v>86.272502380384594</v>
      </c>
      <c r="F107" s="4">
        <f t="shared" si="3"/>
        <v>4.4575109190476017</v>
      </c>
    </row>
    <row r="108" spans="1:6" x14ac:dyDescent="0.2">
      <c r="A108" s="1">
        <v>39630</v>
      </c>
      <c r="B108" s="4">
        <v>14898.999</v>
      </c>
      <c r="C108" s="4">
        <v>88.399000000000001</v>
      </c>
      <c r="D108" s="4">
        <f t="shared" si="2"/>
        <v>16854.26192603989</v>
      </c>
      <c r="E108" s="8">
        <f>D108/(Working_Age_Population!B108/1000000)</f>
        <v>85.68418485853374</v>
      </c>
      <c r="F108" s="4">
        <f t="shared" si="3"/>
        <v>4.4506682678334331</v>
      </c>
    </row>
    <row r="109" spans="1:6" x14ac:dyDescent="0.2">
      <c r="A109" s="1">
        <v>39722</v>
      </c>
      <c r="B109" s="4">
        <v>14608.209000000001</v>
      </c>
      <c r="C109" s="4">
        <v>88.613</v>
      </c>
      <c r="D109" s="4">
        <f t="shared" si="2"/>
        <v>16485.401690496881</v>
      </c>
      <c r="E109" s="8">
        <f>D109/(Working_Age_Population!B109/1000000)</f>
        <v>83.604154954240101</v>
      </c>
      <c r="F109" s="4">
        <f t="shared" si="3"/>
        <v>4.4260932192652023</v>
      </c>
    </row>
    <row r="110" spans="1:6" x14ac:dyDescent="0.2">
      <c r="A110" s="1">
        <v>39814</v>
      </c>
      <c r="B110" s="4">
        <v>14430.902</v>
      </c>
      <c r="C110" s="4">
        <v>88.543000000000006</v>
      </c>
      <c r="D110" s="4">
        <f t="shared" si="2"/>
        <v>16298.185062624938</v>
      </c>
      <c r="E110" s="8">
        <f>D110/(Working_Age_Population!B110/1000000)</f>
        <v>82.613519117654945</v>
      </c>
      <c r="F110" s="4">
        <f t="shared" si="3"/>
        <v>4.4141733368397729</v>
      </c>
    </row>
    <row r="111" spans="1:6" x14ac:dyDescent="0.2">
      <c r="A111" s="1">
        <v>39904</v>
      </c>
      <c r="B111" s="4">
        <v>14381.236000000001</v>
      </c>
      <c r="C111" s="4">
        <v>88.396000000000001</v>
      </c>
      <c r="D111" s="4">
        <f t="shared" si="2"/>
        <v>16269.102674329155</v>
      </c>
      <c r="E111" s="8">
        <f>D111/(Working_Age_Population!B111/1000000)</f>
        <v>82.250737433845643</v>
      </c>
      <c r="F111" s="4">
        <f t="shared" si="3"/>
        <v>4.4097723553663304</v>
      </c>
    </row>
    <row r="112" spans="1:6" x14ac:dyDescent="0.2">
      <c r="A112" s="1">
        <v>39995</v>
      </c>
      <c r="B112" s="4">
        <v>14448.882</v>
      </c>
      <c r="C112" s="4">
        <v>88.501000000000005</v>
      </c>
      <c r="D112" s="4">
        <f t="shared" si="2"/>
        <v>16326.235861741674</v>
      </c>
      <c r="E112" s="8">
        <f>D112/(Working_Age_Population!B112/1000000)</f>
        <v>82.437888872522095</v>
      </c>
      <c r="F112" s="4">
        <f t="shared" si="3"/>
        <v>4.4120451476463574</v>
      </c>
    </row>
    <row r="113" spans="1:6" x14ac:dyDescent="0.2">
      <c r="A113" s="1">
        <v>40087</v>
      </c>
      <c r="B113" s="4">
        <v>14651.249</v>
      </c>
      <c r="C113" s="4">
        <v>88.781000000000006</v>
      </c>
      <c r="D113" s="4">
        <f t="shared" si="2"/>
        <v>16502.685259233393</v>
      </c>
      <c r="E113" s="8">
        <f>D113/(Working_Age_Population!B113/1000000)</f>
        <v>83.045902923136126</v>
      </c>
      <c r="F113" s="4">
        <f t="shared" si="3"/>
        <v>4.4193935021890205</v>
      </c>
    </row>
    <row r="114" spans="1:6" x14ac:dyDescent="0.2">
      <c r="A114" s="1">
        <v>40179</v>
      </c>
      <c r="B114" s="4">
        <v>14764.61</v>
      </c>
      <c r="C114" s="4">
        <v>89.036000000000001</v>
      </c>
      <c r="D114" s="4">
        <f t="shared" si="2"/>
        <v>16582.741812300643</v>
      </c>
      <c r="E114" s="8">
        <f>D114/(Working_Age_Population!B114/1000000)</f>
        <v>83.567162488582682</v>
      </c>
      <c r="F114" s="4">
        <f t="shared" si="3"/>
        <v>4.4256506497284285</v>
      </c>
    </row>
    <row r="115" spans="1:6" x14ac:dyDescent="0.2">
      <c r="A115" s="1">
        <v>40269</v>
      </c>
      <c r="B115" s="4">
        <v>14980.192999999999</v>
      </c>
      <c r="C115" s="4">
        <v>89.471000000000004</v>
      </c>
      <c r="D115" s="4">
        <f t="shared" si="2"/>
        <v>16743.070939186997</v>
      </c>
      <c r="E115" s="8">
        <f>D115/(Working_Age_Population!B115/1000000)</f>
        <v>84.133484230535842</v>
      </c>
      <c r="F115" s="4">
        <f t="shared" si="3"/>
        <v>4.4324046355457059</v>
      </c>
    </row>
    <row r="116" spans="1:6" x14ac:dyDescent="0.2">
      <c r="A116" s="1">
        <v>40360</v>
      </c>
      <c r="B116" s="4">
        <v>15141.607</v>
      </c>
      <c r="C116" s="4">
        <v>89.742999999999995</v>
      </c>
      <c r="D116" s="4">
        <f t="shared" si="2"/>
        <v>16872.187245801902</v>
      </c>
      <c r="E116" s="8">
        <f>D116/(Working_Age_Population!B116/1000000)</f>
        <v>84.676412174172398</v>
      </c>
      <c r="F116" s="4">
        <f t="shared" si="3"/>
        <v>4.4388370761457807</v>
      </c>
    </row>
    <row r="117" spans="1:6" x14ac:dyDescent="0.2">
      <c r="A117" s="1">
        <v>40452</v>
      </c>
      <c r="B117" s="4">
        <v>15309.474</v>
      </c>
      <c r="C117" s="4">
        <v>90.263999999999996</v>
      </c>
      <c r="D117" s="4">
        <f t="shared" si="2"/>
        <v>16960.775059824515</v>
      </c>
      <c r="E117" s="8">
        <f>D117/(Working_Age_Population!B117/1000000)</f>
        <v>84.821277656552979</v>
      </c>
      <c r="F117" s="4">
        <f t="shared" si="3"/>
        <v>4.4405464270850006</v>
      </c>
    </row>
    <row r="118" spans="1:6" x14ac:dyDescent="0.2">
      <c r="A118" s="1">
        <v>40544</v>
      </c>
      <c r="B118" s="4">
        <v>15351.448</v>
      </c>
      <c r="C118" s="4">
        <v>90.725999999999999</v>
      </c>
      <c r="D118" s="4">
        <f t="shared" si="2"/>
        <v>16920.671031457357</v>
      </c>
      <c r="E118" s="8">
        <f>D118/(Working_Age_Population!B118/1000000)</f>
        <v>84.883513192578889</v>
      </c>
      <c r="F118" s="4">
        <f t="shared" si="3"/>
        <v>4.4412798835596767</v>
      </c>
    </row>
    <row r="119" spans="1:6" x14ac:dyDescent="0.2">
      <c r="A119" s="1">
        <v>40634</v>
      </c>
      <c r="B119" s="4">
        <v>15557.539000000001</v>
      </c>
      <c r="C119" s="4">
        <v>91.325999999999993</v>
      </c>
      <c r="D119" s="4">
        <f t="shared" si="2"/>
        <v>17035.169612158643</v>
      </c>
      <c r="E119" s="8">
        <f>D119/(Working_Age_Population!B119/1000000)</f>
        <v>85.182378567846115</v>
      </c>
      <c r="F119" s="4">
        <f t="shared" si="3"/>
        <v>4.4447945881231155</v>
      </c>
    </row>
    <row r="120" spans="1:6" x14ac:dyDescent="0.2">
      <c r="A120" s="1">
        <v>40725</v>
      </c>
      <c r="B120" s="4">
        <v>15647.68</v>
      </c>
      <c r="C120" s="4">
        <v>91.876000000000005</v>
      </c>
      <c r="D120" s="4">
        <f t="shared" si="2"/>
        <v>17031.303060646958</v>
      </c>
      <c r="E120" s="8">
        <f>D120/(Working_Age_Population!B120/1000000)</f>
        <v>85.087650889302296</v>
      </c>
      <c r="F120" s="4">
        <f t="shared" si="3"/>
        <v>4.4436819121152595</v>
      </c>
    </row>
    <row r="121" spans="1:6" x14ac:dyDescent="0.2">
      <c r="A121" s="1">
        <v>40817</v>
      </c>
      <c r="B121" s="4">
        <v>15842.259</v>
      </c>
      <c r="C121" s="4">
        <v>91.984999999999999</v>
      </c>
      <c r="D121" s="4">
        <f t="shared" si="2"/>
        <v>17222.654780670764</v>
      </c>
      <c r="E121" s="8">
        <f>D121/(Working_Age_Population!B121/1000000)</f>
        <v>85.95866306465264</v>
      </c>
      <c r="F121" s="4">
        <f t="shared" si="3"/>
        <v>4.4538665186595567</v>
      </c>
    </row>
    <row r="122" spans="1:6" x14ac:dyDescent="0.2">
      <c r="A122" s="1">
        <v>40909</v>
      </c>
      <c r="B122" s="4">
        <v>16068.805</v>
      </c>
      <c r="C122" s="4">
        <v>92.525000000000006</v>
      </c>
      <c r="D122" s="4">
        <f t="shared" si="2"/>
        <v>17366.987300729532</v>
      </c>
      <c r="E122" s="8">
        <f>D122/(Working_Age_Population!B122/1000000)</f>
        <v>86.357136715130395</v>
      </c>
      <c r="F122" s="4">
        <f t="shared" si="3"/>
        <v>4.4584914498761448</v>
      </c>
    </row>
    <row r="123" spans="1:6" x14ac:dyDescent="0.2">
      <c r="A123" s="1">
        <v>41000</v>
      </c>
      <c r="B123" s="4">
        <v>16207.115</v>
      </c>
      <c r="C123" s="4">
        <v>92.906999999999996</v>
      </c>
      <c r="D123" s="4">
        <f t="shared" si="2"/>
        <v>17444.449826170257</v>
      </c>
      <c r="E123" s="8">
        <f>D123/(Working_Age_Population!B123/1000000)</f>
        <v>86.578308674662551</v>
      </c>
      <c r="F123" s="4">
        <f t="shared" si="3"/>
        <v>4.4610493069958448</v>
      </c>
    </row>
    <row r="124" spans="1:6" x14ac:dyDescent="0.2">
      <c r="A124" s="1">
        <v>41091</v>
      </c>
      <c r="B124" s="4">
        <v>16319.540999999999</v>
      </c>
      <c r="C124" s="4">
        <v>93.417000000000002</v>
      </c>
      <c r="D124" s="4">
        <f t="shared" si="2"/>
        <v>17469.56228523716</v>
      </c>
      <c r="E124" s="8">
        <f>D124/(Working_Age_Population!B124/1000000)</f>
        <v>86.674810558262436</v>
      </c>
      <c r="F124" s="4">
        <f t="shared" si="3"/>
        <v>4.4621633059126555</v>
      </c>
    </row>
    <row r="125" spans="1:6" x14ac:dyDescent="0.2">
      <c r="A125" s="1">
        <v>41183</v>
      </c>
      <c r="B125" s="4">
        <v>16420.419000000002</v>
      </c>
      <c r="C125" s="4">
        <v>93.885000000000005</v>
      </c>
      <c r="D125" s="4">
        <f t="shared" si="2"/>
        <v>17489.928103530918</v>
      </c>
      <c r="E125" s="8">
        <f>D125/(Working_Age_Population!B125/1000000)</f>
        <v>86.693471021095803</v>
      </c>
      <c r="F125" s="4">
        <f t="shared" si="3"/>
        <v>4.4623785755425489</v>
      </c>
    </row>
    <row r="126" spans="1:6" x14ac:dyDescent="0.2">
      <c r="A126" s="1">
        <v>41275</v>
      </c>
      <c r="B126" s="4">
        <v>16648.188999999998</v>
      </c>
      <c r="C126" s="4">
        <v>94.257999999999996</v>
      </c>
      <c r="D126" s="4">
        <f t="shared" si="2"/>
        <v>17662.36181544272</v>
      </c>
      <c r="E126" s="8">
        <f>D126/(Working_Age_Population!B126/1000000)</f>
        <v>87.490578759685818</v>
      </c>
      <c r="F126" s="4">
        <f t="shared" si="3"/>
        <v>4.4715311162487197</v>
      </c>
    </row>
    <row r="127" spans="1:6" x14ac:dyDescent="0.2">
      <c r="A127" s="1">
        <v>41365</v>
      </c>
      <c r="B127" s="4">
        <v>16728.687000000002</v>
      </c>
      <c r="C127" s="4">
        <v>94.460999999999999</v>
      </c>
      <c r="D127" s="4">
        <f t="shared" si="2"/>
        <v>17709.623019023726</v>
      </c>
      <c r="E127" s="8">
        <f>D127/(Working_Age_Population!B127/1000000)</f>
        <v>87.566134019808388</v>
      </c>
      <c r="F127" s="4">
        <f t="shared" si="3"/>
        <v>4.4723943252467011</v>
      </c>
    </row>
    <row r="128" spans="1:6" x14ac:dyDescent="0.2">
      <c r="A128" s="1">
        <v>41456</v>
      </c>
      <c r="B128" s="4">
        <v>16953.838</v>
      </c>
      <c r="C128" s="4">
        <v>94.924000000000007</v>
      </c>
      <c r="D128" s="4">
        <f t="shared" si="2"/>
        <v>17860.43361004593</v>
      </c>
      <c r="E128" s="8">
        <f>D128/(Working_Age_Population!B128/1000000)</f>
        <v>88.211564374090571</v>
      </c>
      <c r="F128" s="4">
        <f t="shared" si="3"/>
        <v>4.4797380697703799</v>
      </c>
    </row>
    <row r="129" spans="1:6" x14ac:dyDescent="0.2">
      <c r="A129" s="1">
        <v>41548</v>
      </c>
      <c r="B129" s="4">
        <v>17192.019</v>
      </c>
      <c r="C129" s="4">
        <v>95.426000000000002</v>
      </c>
      <c r="D129" s="4">
        <f t="shared" si="2"/>
        <v>18016.074235533291</v>
      </c>
      <c r="E129" s="8">
        <f>D129/(Working_Age_Population!B129/1000000)</f>
        <v>88.870809686117155</v>
      </c>
      <c r="F129" s="4">
        <f t="shared" si="3"/>
        <v>4.4871837386137647</v>
      </c>
    </row>
    <row r="130" spans="1:6" x14ac:dyDescent="0.2">
      <c r="A130" s="1">
        <v>41640</v>
      </c>
      <c r="B130" s="4">
        <v>17197.738000000001</v>
      </c>
      <c r="C130" s="4">
        <v>95.787999999999997</v>
      </c>
      <c r="D130" s="4">
        <f t="shared" si="2"/>
        <v>17953.95874222241</v>
      </c>
      <c r="E130" s="8">
        <f>D130/(Working_Age_Population!B130/1000000)</f>
        <v>88.599439416144492</v>
      </c>
      <c r="F130" s="4">
        <f t="shared" si="3"/>
        <v>4.4841255304594672</v>
      </c>
    </row>
    <row r="131" spans="1:6" x14ac:dyDescent="0.2">
      <c r="A131" s="1">
        <v>41730</v>
      </c>
      <c r="B131" s="4">
        <v>17518.508000000002</v>
      </c>
      <c r="C131" s="4">
        <v>96.33</v>
      </c>
      <c r="D131" s="4">
        <f t="shared" ref="D131:D176" si="4">B131/(C131)*100</f>
        <v>18185.931693138173</v>
      </c>
      <c r="E131" s="8">
        <f>D131/(Working_Age_Population!B131/1000000)</f>
        <v>89.621071182299275</v>
      </c>
      <c r="F131" s="4">
        <f t="shared" ref="F131:F176" si="5">LN(E131)</f>
        <v>4.4955904617781899</v>
      </c>
    </row>
    <row r="132" spans="1:6" x14ac:dyDescent="0.2">
      <c r="A132" s="1">
        <v>41821</v>
      </c>
      <c r="B132" s="4">
        <v>17804.227999999999</v>
      </c>
      <c r="C132" s="4">
        <v>96.725999999999999</v>
      </c>
      <c r="D132" s="4">
        <f t="shared" si="4"/>
        <v>18406.868887372577</v>
      </c>
      <c r="E132" s="8">
        <f>D132/(Working_Age_Population!B132/1000000)</f>
        <v>90.613375832537926</v>
      </c>
      <c r="F132" s="4">
        <f t="shared" si="5"/>
        <v>4.5066018382725215</v>
      </c>
    </row>
    <row r="133" spans="1:6" x14ac:dyDescent="0.2">
      <c r="A133" s="1">
        <v>41913</v>
      </c>
      <c r="B133" s="4">
        <v>17912.079000000002</v>
      </c>
      <c r="C133" s="4">
        <v>96.822000000000003</v>
      </c>
      <c r="D133" s="4">
        <f t="shared" si="4"/>
        <v>18500.009295408068</v>
      </c>
      <c r="E133" s="8">
        <f>D133/(Working_Age_Population!B133/1000000)</f>
        <v>90.972303104849061</v>
      </c>
      <c r="F133" s="4">
        <f t="shared" si="5"/>
        <v>4.5105550987043177</v>
      </c>
    </row>
    <row r="134" spans="1:6" x14ac:dyDescent="0.2">
      <c r="A134" s="1">
        <v>42005</v>
      </c>
      <c r="B134" s="4">
        <v>18063.528999999999</v>
      </c>
      <c r="C134" s="4">
        <v>96.769000000000005</v>
      </c>
      <c r="D134" s="4">
        <f t="shared" si="4"/>
        <v>18666.64841013134</v>
      </c>
      <c r="E134" s="8">
        <f>D134/(Working_Age_Population!B134/1000000)</f>
        <v>91.537714673610893</v>
      </c>
      <c r="F134" s="4">
        <f t="shared" si="5"/>
        <v>4.5167510695829733</v>
      </c>
    </row>
    <row r="135" spans="1:6" x14ac:dyDescent="0.2">
      <c r="A135" s="1">
        <v>42095</v>
      </c>
      <c r="B135" s="4">
        <v>18279.784</v>
      </c>
      <c r="C135" s="4">
        <v>97.325000000000003</v>
      </c>
      <c r="D135" s="4">
        <f t="shared" si="4"/>
        <v>18782.208065759052</v>
      </c>
      <c r="E135" s="8">
        <f>D135/(Working_Age_Population!B135/1000000)</f>
        <v>91.981843947752807</v>
      </c>
      <c r="F135" s="4">
        <f t="shared" si="5"/>
        <v>4.5215912091792925</v>
      </c>
    </row>
    <row r="136" spans="1:6" x14ac:dyDescent="0.2">
      <c r="A136" s="1">
        <v>42186</v>
      </c>
      <c r="B136" s="4">
        <v>18401.626</v>
      </c>
      <c r="C136" s="4">
        <v>97.582999999999998</v>
      </c>
      <c r="D136" s="4">
        <f t="shared" si="4"/>
        <v>18857.409589785108</v>
      </c>
      <c r="E136" s="8">
        <f>D136/(Working_Age_Population!B136/1000000)</f>
        <v>92.186817001415591</v>
      </c>
      <c r="F136" s="4">
        <f t="shared" si="5"/>
        <v>4.5238171377084901</v>
      </c>
    </row>
    <row r="137" spans="1:6" x14ac:dyDescent="0.2">
      <c r="A137" s="1">
        <v>42278</v>
      </c>
      <c r="B137" s="4">
        <v>18435.136999999999</v>
      </c>
      <c r="C137" s="4">
        <v>97.581000000000003</v>
      </c>
      <c r="D137" s="4">
        <f t="shared" si="4"/>
        <v>18892.137813713733</v>
      </c>
      <c r="E137" s="8">
        <f>D137/(Working_Age_Population!B137/1000000)</f>
        <v>92.27979454420813</v>
      </c>
      <c r="F137" s="4">
        <f t="shared" si="5"/>
        <v>4.5248252068640644</v>
      </c>
    </row>
    <row r="138" spans="1:6" x14ac:dyDescent="0.2">
      <c r="A138" s="1">
        <v>42370</v>
      </c>
      <c r="B138" s="4">
        <v>18525.933000000001</v>
      </c>
      <c r="C138" s="4">
        <v>97.495999999999995</v>
      </c>
      <c r="D138" s="4">
        <f t="shared" si="4"/>
        <v>19001.736481496679</v>
      </c>
      <c r="E138" s="8">
        <f>D138/(Working_Age_Population!B138/1000000)</f>
        <v>92.635951464643739</v>
      </c>
      <c r="F138" s="4">
        <f t="shared" si="5"/>
        <v>4.5286773110632108</v>
      </c>
    </row>
    <row r="139" spans="1:6" x14ac:dyDescent="0.2">
      <c r="A139" s="1">
        <v>42461</v>
      </c>
      <c r="B139" s="4">
        <v>18711.702000000001</v>
      </c>
      <c r="C139" s="4">
        <v>98.159000000000006</v>
      </c>
      <c r="D139" s="4">
        <f t="shared" si="4"/>
        <v>19062.645299972493</v>
      </c>
      <c r="E139" s="8">
        <f>D139/(Working_Age_Population!B139/1000000)</f>
        <v>92.808917085680989</v>
      </c>
      <c r="F139" s="4">
        <f t="shared" si="5"/>
        <v>4.5305427244612311</v>
      </c>
    </row>
    <row r="140" spans="1:6" x14ac:dyDescent="0.2">
      <c r="A140" s="1">
        <v>42552</v>
      </c>
      <c r="B140" s="4">
        <v>18892.638999999999</v>
      </c>
      <c r="C140" s="4">
        <v>98.41</v>
      </c>
      <c r="D140" s="4">
        <f t="shared" si="4"/>
        <v>19197.885377502287</v>
      </c>
      <c r="E140" s="8">
        <f>D140/(Working_Age_Population!B140/1000000)</f>
        <v>93.327962126677662</v>
      </c>
      <c r="F140" s="4">
        <f t="shared" si="5"/>
        <v>4.5361197642024136</v>
      </c>
    </row>
    <row r="141" spans="1:6" x14ac:dyDescent="0.2">
      <c r="A141" s="1">
        <v>42644</v>
      </c>
      <c r="B141" s="4">
        <v>19089.379000000001</v>
      </c>
      <c r="C141" s="4">
        <v>98.885999999999996</v>
      </c>
      <c r="D141" s="4">
        <f t="shared" si="4"/>
        <v>19304.430354145181</v>
      </c>
      <c r="E141" s="8">
        <f>D141/(Working_Age_Population!B141/1000000)</f>
        <v>93.764551774197784</v>
      </c>
      <c r="F141" s="4">
        <f t="shared" si="5"/>
        <v>4.5407868717300861</v>
      </c>
    </row>
    <row r="142" spans="1:6" x14ac:dyDescent="0.2">
      <c r="A142" s="1">
        <v>42736</v>
      </c>
      <c r="B142" s="4">
        <v>19280.083999999999</v>
      </c>
      <c r="C142" s="4">
        <v>99.39</v>
      </c>
      <c r="D142" s="4">
        <f t="shared" si="4"/>
        <v>19398.41432739712</v>
      </c>
      <c r="E142" s="8">
        <f>D142/(Working_Age_Population!B142/1000000)</f>
        <v>94.457140931242108</v>
      </c>
      <c r="F142" s="4">
        <f t="shared" si="5"/>
        <v>4.5481461965024064</v>
      </c>
    </row>
    <row r="143" spans="1:6" x14ac:dyDescent="0.2">
      <c r="A143" s="1">
        <v>42826</v>
      </c>
      <c r="B143" s="4">
        <v>19438.643</v>
      </c>
      <c r="C143" s="4">
        <v>99.65</v>
      </c>
      <c r="D143" s="4">
        <f t="shared" si="4"/>
        <v>19506.917210235824</v>
      </c>
      <c r="E143" s="8">
        <f>D143/(Working_Age_Population!B143/1000000)</f>
        <v>94.934319379219588</v>
      </c>
      <c r="F143" s="4">
        <f t="shared" si="5"/>
        <v>4.5531852775350767</v>
      </c>
    </row>
    <row r="144" spans="1:6" x14ac:dyDescent="0.2">
      <c r="A144" s="1">
        <v>42917</v>
      </c>
      <c r="B144" s="4">
        <v>19692.595000000001</v>
      </c>
      <c r="C144" s="4">
        <v>100.16200000000001</v>
      </c>
      <c r="D144" s="4">
        <f t="shared" si="4"/>
        <v>19660.744593758111</v>
      </c>
      <c r="E144" s="8">
        <f>D144/(Working_Age_Population!B144/1000000)</f>
        <v>95.567405013367136</v>
      </c>
      <c r="F144" s="4">
        <f t="shared" si="5"/>
        <v>4.5598318101770738</v>
      </c>
    </row>
    <row r="145" spans="1:6" x14ac:dyDescent="0.2">
      <c r="A145" s="1">
        <v>43009</v>
      </c>
      <c r="B145" s="4">
        <v>20037.088</v>
      </c>
      <c r="C145" s="4">
        <v>100.77800000000001</v>
      </c>
      <c r="D145" s="4">
        <f t="shared" si="4"/>
        <v>19882.402905396018</v>
      </c>
      <c r="E145" s="8">
        <f>D145/(Working_Age_Population!B145/1000000)</f>
        <v>96.613445224661476</v>
      </c>
      <c r="F145" s="4">
        <f t="shared" si="5"/>
        <v>4.5707179160535105</v>
      </c>
    </row>
    <row r="146" spans="1:6" x14ac:dyDescent="0.2">
      <c r="A146" s="1">
        <v>43101</v>
      </c>
      <c r="B146" s="4">
        <v>20328.553</v>
      </c>
      <c r="C146" s="4">
        <v>101.419</v>
      </c>
      <c r="D146" s="4">
        <f t="shared" si="4"/>
        <v>20044.126840138433</v>
      </c>
      <c r="E146" s="8">
        <f>D146/(Working_Age_Population!B146/1000000)</f>
        <v>97.169087589488086</v>
      </c>
      <c r="F146" s="4">
        <f t="shared" si="5"/>
        <v>4.5764526319697421</v>
      </c>
    </row>
    <row r="147" spans="1:6" x14ac:dyDescent="0.2">
      <c r="A147" s="1">
        <v>43191</v>
      </c>
      <c r="B147" s="4">
        <v>20580.912</v>
      </c>
      <c r="C147" s="4">
        <v>102.136</v>
      </c>
      <c r="D147" s="4">
        <f t="shared" si="4"/>
        <v>20150.497376047624</v>
      </c>
      <c r="E147" s="8">
        <f>D147/(Working_Age_Population!B147/1000000)</f>
        <v>97.631185183475367</v>
      </c>
      <c r="F147" s="4">
        <f t="shared" si="5"/>
        <v>4.5811969627057927</v>
      </c>
    </row>
    <row r="148" spans="1:6" x14ac:dyDescent="0.2">
      <c r="A148" s="1">
        <v>43282</v>
      </c>
      <c r="B148" s="4">
        <v>20798.73</v>
      </c>
      <c r="C148" s="4">
        <v>102.577</v>
      </c>
      <c r="D148" s="4">
        <f t="shared" si="4"/>
        <v>20276.212016338945</v>
      </c>
      <c r="E148" s="8">
        <f>D148/(Working_Age_Population!B148/1000000)</f>
        <v>98.105450074483571</v>
      </c>
      <c r="F148" s="4">
        <f t="shared" si="5"/>
        <v>4.5860429213429397</v>
      </c>
    </row>
    <row r="149" spans="1:6" x14ac:dyDescent="0.2">
      <c r="A149" s="1">
        <v>43374</v>
      </c>
      <c r="B149" s="4">
        <v>20917.866999999998</v>
      </c>
      <c r="C149" s="4">
        <v>103.01900000000001</v>
      </c>
      <c r="D149" s="4">
        <f t="shared" si="4"/>
        <v>20304.863180578337</v>
      </c>
      <c r="E149" s="8">
        <f>D149/(Working_Age_Population!B149/1000000)</f>
        <v>98.232163185880097</v>
      </c>
      <c r="F149" s="4">
        <f t="shared" si="5"/>
        <v>4.5873336890861678</v>
      </c>
    </row>
    <row r="150" spans="1:6" x14ac:dyDescent="0.2">
      <c r="A150" s="1">
        <v>43466</v>
      </c>
      <c r="B150" s="4">
        <v>21111.599999999999</v>
      </c>
      <c r="C150" s="4">
        <v>103.328</v>
      </c>
      <c r="D150" s="4">
        <f t="shared" si="4"/>
        <v>20431.635181170641</v>
      </c>
      <c r="E150" s="8">
        <f>D150/(Working_Age_Population!B150/1000000)</f>
        <v>99.070543351752477</v>
      </c>
      <c r="F150" s="4">
        <f t="shared" si="5"/>
        <v>4.5958321554934933</v>
      </c>
    </row>
    <row r="151" spans="1:6" x14ac:dyDescent="0.2">
      <c r="A151" s="1">
        <v>43556</v>
      </c>
      <c r="B151" s="4">
        <v>21397.937999999998</v>
      </c>
      <c r="C151" s="4">
        <v>103.86199999999999</v>
      </c>
      <c r="D151" s="4">
        <f t="shared" si="4"/>
        <v>20602.278022760969</v>
      </c>
      <c r="E151" s="8">
        <f>D151/(Working_Age_Population!B151/1000000)</f>
        <v>99.832603706797101</v>
      </c>
      <c r="F151" s="4">
        <f t="shared" si="5"/>
        <v>4.603494820414582</v>
      </c>
    </row>
    <row r="152" spans="1:6" x14ac:dyDescent="0.2">
      <c r="A152" s="1">
        <v>43647</v>
      </c>
      <c r="B152" s="4">
        <v>21717.170999999998</v>
      </c>
      <c r="C152" s="4">
        <v>104.19199999999999</v>
      </c>
      <c r="D152" s="4">
        <f t="shared" si="4"/>
        <v>20843.415041461914</v>
      </c>
      <c r="E152" s="8">
        <f>D152/(Working_Age_Population!B152/1000000)</f>
        <v>101.00286115671929</v>
      </c>
      <c r="F152" s="4">
        <f t="shared" si="5"/>
        <v>4.6151488447243709</v>
      </c>
    </row>
    <row r="153" spans="1:6" x14ac:dyDescent="0.2">
      <c r="A153" s="1">
        <v>43739</v>
      </c>
      <c r="B153" s="4">
        <v>21933.217000000001</v>
      </c>
      <c r="C153" s="4">
        <v>104.51600000000001</v>
      </c>
      <c r="D153" s="4">
        <f t="shared" si="4"/>
        <v>20985.511309273221</v>
      </c>
      <c r="E153" s="8">
        <f>D153/(Working_Age_Population!B153/1000000)</f>
        <v>101.74410212282197</v>
      </c>
      <c r="F153" s="4">
        <f t="shared" si="5"/>
        <v>4.6224608582478339</v>
      </c>
    </row>
    <row r="154" spans="1:6" x14ac:dyDescent="0.2">
      <c r="A154" s="1">
        <v>43831</v>
      </c>
      <c r="B154" s="4">
        <v>21751.238000000001</v>
      </c>
      <c r="C154" s="4">
        <v>105.032</v>
      </c>
      <c r="D154" s="4">
        <f t="shared" si="4"/>
        <v>20709.153400868308</v>
      </c>
      <c r="E154" s="8">
        <f>D154/(Working_Age_Population!B154/1000000)</f>
        <v>100.75379520966278</v>
      </c>
      <c r="F154" s="4">
        <f t="shared" si="5"/>
        <v>4.6126798696921281</v>
      </c>
    </row>
    <row r="155" spans="1:6" x14ac:dyDescent="0.2">
      <c r="A155" s="1">
        <v>43922</v>
      </c>
      <c r="B155" s="4">
        <v>19958.291000000001</v>
      </c>
      <c r="C155" s="4">
        <v>104.614</v>
      </c>
      <c r="D155" s="4">
        <f t="shared" si="4"/>
        <v>19078.030665111746</v>
      </c>
      <c r="E155" s="8">
        <f>D155/(Working_Age_Population!B155/1000000)</f>
        <v>92.426662011097676</v>
      </c>
      <c r="F155" s="4">
        <f t="shared" si="5"/>
        <v>4.5264154869287765</v>
      </c>
    </row>
    <row r="156" spans="1:6" x14ac:dyDescent="0.2">
      <c r="A156" s="1">
        <v>44013</v>
      </c>
      <c r="B156" s="4">
        <v>21704.437000000002</v>
      </c>
      <c r="C156" s="4">
        <v>105.572</v>
      </c>
      <c r="D156" s="4">
        <f t="shared" si="4"/>
        <v>20558.89535104005</v>
      </c>
      <c r="E156" s="8">
        <f>D156/(Working_Age_Population!B156/1000000)</f>
        <v>99.939958189505589</v>
      </c>
      <c r="F156" s="4">
        <f t="shared" si="5"/>
        <v>4.6045695875600137</v>
      </c>
    </row>
    <row r="157" spans="1:6" x14ac:dyDescent="0.2">
      <c r="A157" s="1">
        <v>44105</v>
      </c>
      <c r="B157" s="4">
        <v>22087.16</v>
      </c>
      <c r="C157" s="4">
        <v>106.23</v>
      </c>
      <c r="D157" s="4">
        <f t="shared" si="4"/>
        <v>20791.82905017415</v>
      </c>
      <c r="E157" s="8">
        <f>D157/(Working_Age_Population!B157/1000000)</f>
        <v>100.86244967853614</v>
      </c>
      <c r="F157" s="4">
        <f t="shared" si="5"/>
        <v>4.6137577042629738</v>
      </c>
    </row>
    <row r="158" spans="1:6" x14ac:dyDescent="0.2">
      <c r="A158" s="1">
        <v>44197</v>
      </c>
      <c r="B158" s="4">
        <v>22680.692999999999</v>
      </c>
      <c r="C158" s="4">
        <v>107.583</v>
      </c>
      <c r="D158" s="4">
        <f t="shared" si="4"/>
        <v>21082.041772398985</v>
      </c>
      <c r="E158" s="8">
        <f>D158/(Working_Age_Population!B158/1000000)</f>
        <v>102.78389181761342</v>
      </c>
      <c r="F158" s="4">
        <f t="shared" si="5"/>
        <v>4.6326286463620248</v>
      </c>
    </row>
    <row r="159" spans="1:6" x14ac:dyDescent="0.2">
      <c r="A159" s="1">
        <v>44287</v>
      </c>
      <c r="B159" s="4">
        <v>23425.91</v>
      </c>
      <c r="C159" s="4">
        <v>109.258</v>
      </c>
      <c r="D159" s="4">
        <f t="shared" si="4"/>
        <v>21440.910505409214</v>
      </c>
      <c r="E159" s="8">
        <f>D159/(Working_Age_Population!B159/1000000)</f>
        <v>104.34064544498825</v>
      </c>
      <c r="F159" s="4">
        <f t="shared" si="5"/>
        <v>4.647660983553533</v>
      </c>
    </row>
    <row r="160" spans="1:6" x14ac:dyDescent="0.2">
      <c r="A160" s="1">
        <v>44378</v>
      </c>
      <c r="B160" s="4">
        <v>23982.379000000001</v>
      </c>
      <c r="C160" s="4">
        <v>110.938</v>
      </c>
      <c r="D160" s="4">
        <f t="shared" si="4"/>
        <v>21617.821666155869</v>
      </c>
      <c r="E160" s="8">
        <f>D160/(Working_Age_Population!B160/1000000)</f>
        <v>105.2649205145462</v>
      </c>
      <c r="F160" s="4">
        <f t="shared" si="5"/>
        <v>4.6564802251236364</v>
      </c>
    </row>
    <row r="161" spans="1:6" x14ac:dyDescent="0.2">
      <c r="A161" s="1">
        <v>44470</v>
      </c>
      <c r="B161" s="4">
        <v>24813.599999999999</v>
      </c>
      <c r="C161" s="4">
        <v>112.84699999999999</v>
      </c>
      <c r="D161" s="4">
        <f t="shared" si="4"/>
        <v>21988.71037776813</v>
      </c>
      <c r="E161" s="8">
        <f>D161/(Working_Age_Population!B161/1000000)</f>
        <v>107.05713105003512</v>
      </c>
      <c r="F161" s="4">
        <f t="shared" si="5"/>
        <v>4.6733626270163651</v>
      </c>
    </row>
    <row r="162" spans="1:6" x14ac:dyDescent="0.2">
      <c r="A162" s="1">
        <v>44562</v>
      </c>
      <c r="B162" s="4">
        <v>25250.347000000002</v>
      </c>
      <c r="C162" s="4">
        <v>115.126</v>
      </c>
      <c r="D162" s="4">
        <f t="shared" si="4"/>
        <v>21932.792766186612</v>
      </c>
      <c r="E162" s="8">
        <f>D162/(Working_Age_Population!B162/1000000)</f>
        <v>105.99535847862923</v>
      </c>
      <c r="F162" s="4">
        <f t="shared" si="5"/>
        <v>4.6633953052158876</v>
      </c>
    </row>
    <row r="163" spans="1:6" x14ac:dyDescent="0.2">
      <c r="A163" s="1">
        <v>44652</v>
      </c>
      <c r="B163" s="4">
        <v>25861.292000000001</v>
      </c>
      <c r="C163" s="4">
        <v>117.72799999999999</v>
      </c>
      <c r="D163" s="4">
        <f t="shared" si="4"/>
        <v>21966.984914378911</v>
      </c>
      <c r="E163" s="8">
        <f>D163/(Working_Age_Population!B163/1000000)</f>
        <v>106.05544420587798</v>
      </c>
      <c r="F163" s="4">
        <f t="shared" si="5"/>
        <v>4.6639620159106467</v>
      </c>
    </row>
    <row r="164" spans="1:6" x14ac:dyDescent="0.2">
      <c r="A164" s="1">
        <v>44743</v>
      </c>
      <c r="B164" s="4">
        <v>26336.304</v>
      </c>
      <c r="C164" s="4">
        <v>119.03100000000001</v>
      </c>
      <c r="D164" s="4">
        <f t="shared" si="4"/>
        <v>22125.584091539178</v>
      </c>
      <c r="E164" s="8">
        <f>D164/(Working_Age_Population!B164/1000000)</f>
        <v>106.63965083624572</v>
      </c>
      <c r="F164" s="4">
        <f t="shared" si="5"/>
        <v>4.6694554016363394</v>
      </c>
    </row>
    <row r="165" spans="1:6" x14ac:dyDescent="0.2">
      <c r="A165" s="1">
        <v>44835</v>
      </c>
      <c r="B165" s="4">
        <v>26770.513999999999</v>
      </c>
      <c r="C165" s="4">
        <v>120.164</v>
      </c>
      <c r="D165" s="4">
        <f t="shared" si="4"/>
        <v>22278.314636663225</v>
      </c>
      <c r="E165" s="8">
        <f>D165/(Working_Age_Population!B165/1000000)</f>
        <v>107.3003363626983</v>
      </c>
      <c r="F165" s="4">
        <f t="shared" si="5"/>
        <v>4.6756317844192354</v>
      </c>
    </row>
    <row r="166" spans="1:6" x14ac:dyDescent="0.2">
      <c r="A166" s="1">
        <v>44927</v>
      </c>
      <c r="B166" s="4">
        <v>27216.445</v>
      </c>
      <c r="C166" s="4">
        <v>121.288</v>
      </c>
      <c r="D166" s="4">
        <f t="shared" si="4"/>
        <v>22439.519985489085</v>
      </c>
      <c r="E166" s="8">
        <f>D166/(Working_Age_Population!B166/1000000)</f>
        <v>107.77403254437685</v>
      </c>
      <c r="F166" s="4">
        <f t="shared" si="5"/>
        <v>4.6800367439691719</v>
      </c>
    </row>
    <row r="167" spans="1:6" x14ac:dyDescent="0.2">
      <c r="A167" s="1">
        <v>45017</v>
      </c>
      <c r="B167" s="4">
        <v>27530.055</v>
      </c>
      <c r="C167" s="4">
        <v>121.92</v>
      </c>
      <c r="D167" s="4">
        <f t="shared" si="4"/>
        <v>22580.425688976378</v>
      </c>
      <c r="E167" s="8">
        <f>D167/(Working_Age_Population!B167/1000000)</f>
        <v>108.32299066068285</v>
      </c>
      <c r="F167" s="4">
        <f t="shared" si="5"/>
        <v>4.6851174182795328</v>
      </c>
    </row>
    <row r="168" spans="1:6" x14ac:dyDescent="0.2">
      <c r="A168" s="1">
        <v>45108</v>
      </c>
      <c r="B168" s="4">
        <v>28074.846000000001</v>
      </c>
      <c r="C168" s="4">
        <v>122.914</v>
      </c>
      <c r="D168" s="4">
        <f t="shared" si="4"/>
        <v>22841.04821257139</v>
      </c>
      <c r="E168" s="8">
        <f>D168/(Working_Age_Population!B168/1000000)</f>
        <v>109.34669407822616</v>
      </c>
      <c r="F168" s="4">
        <f t="shared" si="5"/>
        <v>4.694523514184981</v>
      </c>
    </row>
    <row r="169" spans="1:6" x14ac:dyDescent="0.2">
      <c r="A169" s="1">
        <v>45200</v>
      </c>
      <c r="B169" s="4">
        <v>28424.722000000002</v>
      </c>
      <c r="C169" s="4">
        <v>123.405</v>
      </c>
      <c r="D169" s="4">
        <f t="shared" si="4"/>
        <v>23033.687451886068</v>
      </c>
      <c r="E169" s="8">
        <f>D169/(Working_Age_Population!B169/1000000)</f>
        <v>110.13039408031712</v>
      </c>
      <c r="F169" s="4">
        <f t="shared" si="5"/>
        <v>4.7016650644898652</v>
      </c>
    </row>
    <row r="170" spans="1:6" x14ac:dyDescent="0.2">
      <c r="A170" s="1">
        <v>45292</v>
      </c>
      <c r="B170" s="4">
        <v>28708.161</v>
      </c>
      <c r="C170" s="4">
        <v>124.374</v>
      </c>
      <c r="D170" s="4">
        <f t="shared" si="4"/>
        <v>23082.124077379518</v>
      </c>
      <c r="E170" s="8">
        <f>D170/(Working_Age_Population!B170/1000000)</f>
        <v>110.73193746972761</v>
      </c>
      <c r="F170" s="4">
        <f t="shared" si="5"/>
        <v>4.7071123028000343</v>
      </c>
    </row>
    <row r="171" spans="1:6" x14ac:dyDescent="0.2">
      <c r="A171" s="1">
        <v>45383</v>
      </c>
      <c r="B171" s="4">
        <v>29147.044000000002</v>
      </c>
      <c r="C171" s="4">
        <v>125.167</v>
      </c>
      <c r="D171" s="4">
        <f t="shared" si="4"/>
        <v>23286.524403397059</v>
      </c>
      <c r="E171" s="8">
        <f>D171/(Working_Age_Population!B171/1000000)</f>
        <v>111.58638781283399</v>
      </c>
      <c r="F171" s="4">
        <f t="shared" si="5"/>
        <v>4.7147990695046191</v>
      </c>
    </row>
    <row r="172" spans="1:6" x14ac:dyDescent="0.2">
      <c r="A172" s="1">
        <v>45474</v>
      </c>
      <c r="B172" s="4">
        <v>29511.664000000001</v>
      </c>
      <c r="C172" s="4">
        <v>125.696</v>
      </c>
      <c r="D172" s="4">
        <f t="shared" si="4"/>
        <v>23478.602342158858</v>
      </c>
      <c r="E172" s="8">
        <f>D172/(Working_Age_Population!B172/1000000)</f>
        <v>112.28766601639498</v>
      </c>
      <c r="F172" s="4">
        <f t="shared" si="5"/>
        <v>4.7210640250482321</v>
      </c>
    </row>
    <row r="173" spans="1:6" x14ac:dyDescent="0.2">
      <c r="A173" s="1">
        <v>45566</v>
      </c>
      <c r="B173" s="4">
        <v>29825.182000000001</v>
      </c>
      <c r="C173" s="4">
        <v>126.45</v>
      </c>
      <c r="D173" s="4">
        <f t="shared" si="4"/>
        <v>23586.541716093318</v>
      </c>
      <c r="E173" s="8">
        <f>D173/(Working_Age_Population!B173/1000000)</f>
        <v>112.57312087039216</v>
      </c>
      <c r="F173" s="4">
        <f t="shared" si="5"/>
        <v>4.7236029738021905</v>
      </c>
    </row>
    <row r="174" spans="1:6" x14ac:dyDescent="0.2">
      <c r="A174" s="1">
        <v>45658</v>
      </c>
      <c r="B174" s="4">
        <v>30042.113000000001</v>
      </c>
      <c r="C174" s="4">
        <v>127.577</v>
      </c>
      <c r="D174" s="4">
        <f t="shared" si="4"/>
        <v>23548.220290491234</v>
      </c>
      <c r="E174" s="8">
        <f>D174/(Working_Age_Population!B174/1000000)</f>
        <v>111.37559630882002</v>
      </c>
      <c r="F174" s="4">
        <f t="shared" si="5"/>
        <v>4.7129082398401199</v>
      </c>
    </row>
    <row r="175" spans="1:6" x14ac:dyDescent="0.2">
      <c r="A175" s="1">
        <v>45748</v>
      </c>
      <c r="B175" s="4">
        <v>30485.728999999999</v>
      </c>
      <c r="C175" s="4">
        <v>128.24799999999999</v>
      </c>
      <c r="D175" s="4">
        <f t="shared" si="4"/>
        <v>23770.919624477578</v>
      </c>
      <c r="E175" s="8">
        <f>D175/(Working_Age_Population!B175/1000000)</f>
        <v>112.2537413686851</v>
      </c>
      <c r="F175" s="4">
        <f t="shared" si="5"/>
        <v>4.720761856745618</v>
      </c>
    </row>
    <row r="176" spans="1:6" x14ac:dyDescent="0.2">
      <c r="A176" s="1">
        <v>45839</v>
      </c>
      <c r="B176" s="4">
        <v>31098.026999999998</v>
      </c>
      <c r="C176" s="4">
        <v>129.43</v>
      </c>
      <c r="D176" s="4">
        <f t="shared" si="4"/>
        <v>24026.907981148106</v>
      </c>
      <c r="E176" s="8">
        <f>D176/(Working_Age_Population!B176/1000000)</f>
        <v>113.2267817239093</v>
      </c>
      <c r="F176" s="4">
        <f t="shared" si="5"/>
        <v>4.7293927254536774</v>
      </c>
    </row>
    <row r="177" spans="1:6" x14ac:dyDescent="0.2">
      <c r="A177" s="1"/>
      <c r="B177" s="4"/>
      <c r="C177" s="4"/>
      <c r="D177" s="4"/>
      <c r="E177" s="8"/>
      <c r="F17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8DD6-814E-A745-8CBA-3448933C440A}">
  <dimension ref="A1:L178"/>
  <sheetViews>
    <sheetView showGridLines="0" workbookViewId="0">
      <selection activeCell="B1" sqref="B1"/>
    </sheetView>
  </sheetViews>
  <sheetFormatPr baseColWidth="10" defaultColWidth="11" defaultRowHeight="16" x14ac:dyDescent="0.2"/>
  <cols>
    <col min="1" max="1" width="10.1640625" bestFit="1" customWidth="1"/>
    <col min="2" max="2" width="10" bestFit="1" customWidth="1"/>
    <col min="3" max="3" width="25.1640625" bestFit="1" customWidth="1"/>
    <col min="4" max="4" width="15.6640625" bestFit="1" customWidth="1"/>
  </cols>
  <sheetData>
    <row r="1" spans="1:12" x14ac:dyDescent="0.2">
      <c r="A1" s="7" t="s">
        <v>8</v>
      </c>
      <c r="B1" s="28" t="s">
        <v>3</v>
      </c>
      <c r="C1" t="s">
        <v>36</v>
      </c>
      <c r="D1" t="s">
        <v>39</v>
      </c>
    </row>
    <row r="2" spans="1:12" x14ac:dyDescent="0.2">
      <c r="A2" s="1">
        <v>29952</v>
      </c>
      <c r="B2" s="21">
        <v>4580.1899999999996</v>
      </c>
      <c r="C2" s="8">
        <f>B2/(Working_Age_Population!B2/1000000)</f>
        <v>31.346337869268236</v>
      </c>
      <c r="D2" s="4">
        <f>LN(C2)</f>
        <v>3.44509744587819</v>
      </c>
      <c r="F2" s="32"/>
      <c r="H2" s="1"/>
      <c r="I2" s="12"/>
      <c r="J2" s="11"/>
      <c r="L2" s="11"/>
    </row>
    <row r="3" spans="1:12" x14ac:dyDescent="0.2">
      <c r="A3" s="1">
        <v>30042</v>
      </c>
      <c r="B3" s="21">
        <v>4594.1419999999998</v>
      </c>
      <c r="C3" s="8">
        <f>B3/(Working_Age_Population!B3/1000000)</f>
        <v>31.310502276289714</v>
      </c>
      <c r="D3" s="4">
        <f t="shared" ref="D3:D66" si="0">LN(C3)</f>
        <v>3.4439535772501952</v>
      </c>
      <c r="H3" s="1"/>
      <c r="I3" s="12"/>
      <c r="J3" s="11"/>
    </row>
    <row r="4" spans="1:12" x14ac:dyDescent="0.2">
      <c r="A4" s="1">
        <v>30133</v>
      </c>
      <c r="B4" s="21">
        <v>4624.9390000000003</v>
      </c>
      <c r="C4" s="8">
        <f>B4/(Working_Age_Population!B4/1000000)</f>
        <v>31.424838001804293</v>
      </c>
      <c r="D4" s="4">
        <f t="shared" si="0"/>
        <v>3.4475985993891745</v>
      </c>
      <c r="H4" s="1"/>
      <c r="I4" s="12"/>
      <c r="J4" s="11"/>
    </row>
    <row r="5" spans="1:12" x14ac:dyDescent="0.2">
      <c r="A5" s="1">
        <v>30225</v>
      </c>
      <c r="B5" s="21">
        <v>4705.9530000000004</v>
      </c>
      <c r="C5" s="8">
        <f>B5/(Working_Age_Population!B5/1000000)</f>
        <v>31.86525318774212</v>
      </c>
      <c r="D5" s="4">
        <f t="shared" si="0"/>
        <v>3.4615161743722909</v>
      </c>
      <c r="H5" s="1"/>
      <c r="I5" s="12"/>
      <c r="J5" s="11"/>
    </row>
    <row r="6" spans="1:12" x14ac:dyDescent="0.2">
      <c r="A6" s="1">
        <v>30317</v>
      </c>
      <c r="B6" s="21">
        <v>4752.4809999999998</v>
      </c>
      <c r="C6" s="8">
        <f>B6/(Working_Age_Population!B6/1000000)</f>
        <v>32.21522325293197</v>
      </c>
      <c r="D6" s="4">
        <f t="shared" si="0"/>
        <v>3.4724391126591576</v>
      </c>
      <c r="H6" s="1"/>
      <c r="I6" s="12"/>
      <c r="J6" s="11"/>
    </row>
    <row r="7" spans="1:12" x14ac:dyDescent="0.2">
      <c r="A7" s="1">
        <v>30407</v>
      </c>
      <c r="B7" s="21">
        <v>4849.2539999999999</v>
      </c>
      <c r="C7" s="8">
        <f>B7/(Working_Age_Population!B7/1000000)</f>
        <v>32.71852469893534</v>
      </c>
      <c r="D7" s="4">
        <f t="shared" si="0"/>
        <v>3.4879414220546767</v>
      </c>
      <c r="H7" s="1"/>
      <c r="I7" s="12"/>
      <c r="J7" s="11"/>
    </row>
    <row r="8" spans="1:12" x14ac:dyDescent="0.2">
      <c r="A8" s="1">
        <v>30498</v>
      </c>
      <c r="B8" s="21">
        <v>4936.2110000000002</v>
      </c>
      <c r="C8" s="8">
        <f>B8/(Working_Age_Population!B8/1000000)</f>
        <v>33.232294913615448</v>
      </c>
      <c r="D8" s="4">
        <f t="shared" si="0"/>
        <v>3.5035221414809778</v>
      </c>
      <c r="H8" s="1"/>
      <c r="I8" s="12"/>
      <c r="J8" s="11"/>
    </row>
    <row r="9" spans="1:12" x14ac:dyDescent="0.2">
      <c r="A9" s="1">
        <v>30590</v>
      </c>
      <c r="B9" s="21">
        <v>5014.8739999999998</v>
      </c>
      <c r="C9" s="8">
        <f>B9/(Working_Age_Population!B9/1000000)</f>
        <v>33.671704530090089</v>
      </c>
      <c r="D9" s="4">
        <f t="shared" si="0"/>
        <v>3.5166578564859017</v>
      </c>
      <c r="H9" s="1"/>
      <c r="I9" s="12"/>
      <c r="J9" s="11"/>
    </row>
    <row r="10" spans="1:12" x14ac:dyDescent="0.2">
      <c r="A10" s="1">
        <v>30682</v>
      </c>
      <c r="B10" s="21">
        <v>5056.4920000000002</v>
      </c>
      <c r="C10" s="8">
        <f>B10/(Working_Age_Population!B10/1000000)</f>
        <v>33.872270036581369</v>
      </c>
      <c r="D10" s="4">
        <f t="shared" si="0"/>
        <v>3.5225966866263594</v>
      </c>
      <c r="H10" s="1"/>
      <c r="I10" s="12"/>
      <c r="J10" s="11"/>
    </row>
    <row r="11" spans="1:12" x14ac:dyDescent="0.2">
      <c r="A11" s="1">
        <v>30773</v>
      </c>
      <c r="B11" s="21">
        <v>5127.3320000000003</v>
      </c>
      <c r="C11" s="8">
        <f>B11/(Working_Age_Population!B11/1000000)</f>
        <v>34.245201674279564</v>
      </c>
      <c r="D11" s="4">
        <f t="shared" si="0"/>
        <v>3.5335464577923923</v>
      </c>
      <c r="H11" s="1"/>
      <c r="I11" s="12"/>
      <c r="J11" s="11"/>
    </row>
    <row r="12" spans="1:12" x14ac:dyDescent="0.2">
      <c r="A12" s="1">
        <v>30864</v>
      </c>
      <c r="B12" s="21">
        <v>5165.357</v>
      </c>
      <c r="C12" s="8">
        <f>B12/(Working_Age_Population!B12/1000000)</f>
        <v>34.41062408850209</v>
      </c>
      <c r="D12" s="4">
        <f t="shared" si="0"/>
        <v>3.5383653564802016</v>
      </c>
      <c r="H12" s="1"/>
      <c r="I12" s="12"/>
      <c r="J12" s="11"/>
    </row>
    <row r="13" spans="1:12" x14ac:dyDescent="0.2">
      <c r="A13" s="1">
        <v>30956</v>
      </c>
      <c r="B13" s="21">
        <v>5232.2659999999996</v>
      </c>
      <c r="C13" s="8">
        <f>B13/(Working_Age_Population!B13/1000000)</f>
        <v>34.764863038951148</v>
      </c>
      <c r="D13" s="4">
        <f t="shared" si="0"/>
        <v>3.5486071939186314</v>
      </c>
      <c r="H13" s="1"/>
      <c r="I13" s="12"/>
      <c r="J13" s="11"/>
    </row>
    <row r="14" spans="1:12" x14ac:dyDescent="0.2">
      <c r="A14" s="1">
        <v>31048</v>
      </c>
      <c r="B14" s="21">
        <v>5321.1589999999997</v>
      </c>
      <c r="C14" s="8">
        <f>B14/(Working_Age_Population!B14/1000000)</f>
        <v>35.316981544000477</v>
      </c>
      <c r="D14" s="4">
        <f t="shared" si="0"/>
        <v>3.564363911834687</v>
      </c>
      <c r="H14" s="1"/>
      <c r="I14" s="12"/>
      <c r="J14" s="11"/>
    </row>
    <row r="15" spans="1:12" x14ac:dyDescent="0.2">
      <c r="A15" s="1">
        <v>31138</v>
      </c>
      <c r="B15" s="21">
        <v>5370.0110000000004</v>
      </c>
      <c r="C15" s="8">
        <f>B15/(Working_Age_Population!B15/1000000)</f>
        <v>35.549033876882248</v>
      </c>
      <c r="D15" s="4">
        <f t="shared" si="0"/>
        <v>3.5709129794209549</v>
      </c>
      <c r="H15" s="1"/>
      <c r="I15" s="12"/>
      <c r="J15" s="11"/>
    </row>
    <row r="16" spans="1:12" x14ac:dyDescent="0.2">
      <c r="A16" s="1">
        <v>31229</v>
      </c>
      <c r="B16" s="21">
        <v>5472.0140000000001</v>
      </c>
      <c r="C16" s="8">
        <f>B16/(Working_Age_Population!B16/1000000)</f>
        <v>36.147997582767395</v>
      </c>
      <c r="D16" s="4">
        <f t="shared" si="0"/>
        <v>3.5876215551692687</v>
      </c>
      <c r="H16" s="1"/>
      <c r="I16" s="12"/>
      <c r="J16" s="11"/>
    </row>
    <row r="17" spans="1:10" x14ac:dyDescent="0.2">
      <c r="A17" s="1">
        <v>31321</v>
      </c>
      <c r="B17" s="21">
        <v>5483.866</v>
      </c>
      <c r="C17" s="8">
        <f>B17/(Working_Age_Population!B17/1000000)</f>
        <v>36.131486429867387</v>
      </c>
      <c r="D17" s="4">
        <f t="shared" si="0"/>
        <v>3.5871646854665378</v>
      </c>
      <c r="H17" s="1"/>
      <c r="I17" s="12"/>
      <c r="J17" s="11"/>
    </row>
    <row r="18" spans="1:10" x14ac:dyDescent="0.2">
      <c r="A18" s="1">
        <v>31413</v>
      </c>
      <c r="B18" s="21">
        <v>5531.8069999999998</v>
      </c>
      <c r="C18" s="8">
        <f>B18/(Working_Age_Population!B18/1000000)</f>
        <v>36.285025725124505</v>
      </c>
      <c r="D18" s="4">
        <f t="shared" si="0"/>
        <v>3.5914051417039294</v>
      </c>
      <c r="H18" s="1"/>
      <c r="I18" s="12"/>
      <c r="J18" s="11"/>
    </row>
    <row r="19" spans="1:10" x14ac:dyDescent="0.2">
      <c r="A19" s="1">
        <v>31503</v>
      </c>
      <c r="B19" s="21">
        <v>5592.08</v>
      </c>
      <c r="C19" s="8">
        <f>B19/(Working_Age_Population!B19/1000000)</f>
        <v>36.572386361093926</v>
      </c>
      <c r="D19" s="4">
        <f t="shared" si="0"/>
        <v>3.5992934846424705</v>
      </c>
      <c r="H19" s="1"/>
      <c r="I19" s="12"/>
      <c r="J19" s="11"/>
    </row>
    <row r="20" spans="1:10" x14ac:dyDescent="0.2">
      <c r="A20" s="1">
        <v>31594</v>
      </c>
      <c r="B20" s="21">
        <v>5690.9709999999995</v>
      </c>
      <c r="C20" s="8">
        <f>B20/(Working_Age_Population!B20/1000000)</f>
        <v>37.128119878078486</v>
      </c>
      <c r="D20" s="4">
        <f t="shared" si="0"/>
        <v>3.614374630711902</v>
      </c>
      <c r="H20" s="1"/>
      <c r="I20" s="12"/>
      <c r="J20" s="11"/>
    </row>
    <row r="21" spans="1:10" x14ac:dyDescent="0.2">
      <c r="A21" s="1">
        <v>31686</v>
      </c>
      <c r="B21" s="21">
        <v>5725.8119999999999</v>
      </c>
      <c r="C21" s="8">
        <f>B21/(Working_Age_Population!B21/1000000)</f>
        <v>37.252021380499713</v>
      </c>
      <c r="D21" s="4">
        <f t="shared" si="0"/>
        <v>3.6177062086015774</v>
      </c>
      <c r="H21" s="1"/>
      <c r="I21" s="12"/>
      <c r="J21" s="11"/>
    </row>
    <row r="22" spans="1:10" x14ac:dyDescent="0.2">
      <c r="A22" s="1">
        <v>31778</v>
      </c>
      <c r="B22" s="21">
        <v>5731.2259999999997</v>
      </c>
      <c r="C22" s="8">
        <f>B22/(Working_Age_Population!B22/1000000)</f>
        <v>37.207973397770076</v>
      </c>
      <c r="D22" s="4">
        <f t="shared" si="0"/>
        <v>3.6165230769615877</v>
      </c>
      <c r="H22" s="1"/>
      <c r="I22" s="12"/>
      <c r="J22" s="11"/>
    </row>
    <row r="23" spans="1:10" x14ac:dyDescent="0.2">
      <c r="A23" s="1">
        <v>31868</v>
      </c>
      <c r="B23" s="21">
        <v>5809.3760000000002</v>
      </c>
      <c r="C23" s="8">
        <f>B23/(Working_Age_Population!B23/1000000)</f>
        <v>37.598543277274182</v>
      </c>
      <c r="D23" s="4">
        <f t="shared" si="0"/>
        <v>3.6269653070196473</v>
      </c>
      <c r="H23" s="1"/>
      <c r="I23" s="12"/>
      <c r="J23" s="11"/>
    </row>
    <row r="24" spans="1:10" x14ac:dyDescent="0.2">
      <c r="A24" s="1">
        <v>31959</v>
      </c>
      <c r="B24" s="21">
        <v>5875.6409999999996</v>
      </c>
      <c r="C24" s="8">
        <f>B24/(Working_Age_Population!B24/1000000)</f>
        <v>37.953051867603186</v>
      </c>
      <c r="D24" s="4">
        <f t="shared" si="0"/>
        <v>3.6363499187269364</v>
      </c>
      <c r="H24" s="1"/>
      <c r="I24" s="12"/>
      <c r="J24" s="11"/>
    </row>
    <row r="25" spans="1:10" x14ac:dyDescent="0.2">
      <c r="A25" s="1">
        <v>32051</v>
      </c>
      <c r="B25" s="21">
        <v>5888.0649999999996</v>
      </c>
      <c r="C25" s="8">
        <f>B25/(Working_Age_Population!B25/1000000)</f>
        <v>37.949028469191248</v>
      </c>
      <c r="D25" s="4">
        <f t="shared" si="0"/>
        <v>3.6362439032291305</v>
      </c>
      <c r="H25" s="1"/>
      <c r="I25" s="12"/>
      <c r="J25" s="11"/>
    </row>
    <row r="26" spans="1:10" x14ac:dyDescent="0.2">
      <c r="A26" s="1">
        <v>32143</v>
      </c>
      <c r="B26" s="21">
        <v>5992.1009999999997</v>
      </c>
      <c r="C26" s="8">
        <f>B26/(Working_Age_Population!B26/1000000)</f>
        <v>38.532792702670569</v>
      </c>
      <c r="D26" s="4">
        <f t="shared" si="0"/>
        <v>3.6515096372642319</v>
      </c>
      <c r="H26" s="1"/>
      <c r="I26" s="12"/>
      <c r="J26" s="11"/>
    </row>
    <row r="27" spans="1:10" x14ac:dyDescent="0.2">
      <c r="A27" s="1">
        <v>32234</v>
      </c>
      <c r="B27" s="21">
        <v>6036.3549999999996</v>
      </c>
      <c r="C27" s="8">
        <f>B27/(Working_Age_Population!B27/1000000)</f>
        <v>38.739050548490809</v>
      </c>
      <c r="D27" s="4">
        <f t="shared" si="0"/>
        <v>3.6568481493793636</v>
      </c>
      <c r="H27" s="1"/>
      <c r="I27" s="12"/>
      <c r="J27" s="11"/>
    </row>
    <row r="28" spans="1:10" x14ac:dyDescent="0.2">
      <c r="A28" s="1">
        <v>32325</v>
      </c>
      <c r="B28" s="21">
        <v>6090.0010000000002</v>
      </c>
      <c r="C28" s="8">
        <f>B28/(Working_Age_Population!B28/1000000)</f>
        <v>38.999576620921879</v>
      </c>
      <c r="D28" s="4">
        <f t="shared" si="0"/>
        <v>3.6635507901969229</v>
      </c>
      <c r="H28" s="1"/>
      <c r="I28" s="12"/>
      <c r="J28" s="11"/>
    </row>
    <row r="29" spans="1:10" x14ac:dyDescent="0.2">
      <c r="A29" s="1">
        <v>32417</v>
      </c>
      <c r="B29" s="21">
        <v>6159.2460000000001</v>
      </c>
      <c r="C29" s="8">
        <f>B29/(Working_Age_Population!B29/1000000)</f>
        <v>39.354150764541259</v>
      </c>
      <c r="D29" s="4">
        <f t="shared" si="0"/>
        <v>3.6726014525162372</v>
      </c>
      <c r="H29" s="1"/>
      <c r="I29" s="12"/>
      <c r="J29" s="11"/>
    </row>
    <row r="30" spans="1:10" x14ac:dyDescent="0.2">
      <c r="A30" s="1">
        <v>32509</v>
      </c>
      <c r="B30" s="21">
        <v>6187.8159999999998</v>
      </c>
      <c r="C30" s="8">
        <f>B30/(Working_Age_Population!B30/1000000)</f>
        <v>39.45756780235083</v>
      </c>
      <c r="D30" s="4">
        <f t="shared" si="0"/>
        <v>3.675225861653542</v>
      </c>
      <c r="H30" s="1"/>
      <c r="I30" s="12"/>
      <c r="J30" s="11"/>
    </row>
    <row r="31" spans="1:10" x14ac:dyDescent="0.2">
      <c r="A31" s="1">
        <v>32599</v>
      </c>
      <c r="B31" s="21">
        <v>6216.6949999999997</v>
      </c>
      <c r="C31" s="8">
        <f>B31/(Working_Age_Population!B31/1000000)</f>
        <v>39.60326626715328</v>
      </c>
      <c r="D31" s="4">
        <f t="shared" si="0"/>
        <v>3.6789115963527932</v>
      </c>
      <c r="H31" s="1"/>
      <c r="I31" s="12"/>
      <c r="J31" s="11"/>
    </row>
    <row r="32" spans="1:10" x14ac:dyDescent="0.2">
      <c r="A32" s="1">
        <v>32690</v>
      </c>
      <c r="B32" s="21">
        <v>6276.8770000000004</v>
      </c>
      <c r="C32" s="8">
        <f>B32/(Working_Age_Population!B32/1000000)</f>
        <v>39.89616547751158</v>
      </c>
      <c r="D32" s="4">
        <f t="shared" si="0"/>
        <v>3.686280215957086</v>
      </c>
      <c r="H32" s="1"/>
      <c r="I32" s="12"/>
      <c r="J32" s="11"/>
    </row>
    <row r="33" spans="1:10" x14ac:dyDescent="0.2">
      <c r="A33" s="1">
        <v>32782</v>
      </c>
      <c r="B33" s="21">
        <v>6304.1570000000002</v>
      </c>
      <c r="C33" s="8">
        <f>B33/(Working_Age_Population!B33/1000000)</f>
        <v>39.955463190425128</v>
      </c>
      <c r="D33" s="4">
        <f t="shared" si="0"/>
        <v>3.687765413561761</v>
      </c>
      <c r="H33" s="1"/>
      <c r="I33" s="12"/>
      <c r="J33" s="11"/>
    </row>
    <row r="34" spans="1:10" x14ac:dyDescent="0.2">
      <c r="A34" s="1">
        <v>32874</v>
      </c>
      <c r="B34" s="21">
        <v>6357.2129999999997</v>
      </c>
      <c r="C34" s="8">
        <f>B34/(Working_Age_Population!B34/1000000)</f>
        <v>39.885875883215583</v>
      </c>
      <c r="D34" s="4">
        <f t="shared" si="0"/>
        <v>3.6860222733379815</v>
      </c>
      <c r="H34" s="1"/>
      <c r="I34" s="12"/>
      <c r="J34" s="11"/>
    </row>
    <row r="35" spans="1:10" x14ac:dyDescent="0.2">
      <c r="A35" s="1">
        <v>32964</v>
      </c>
      <c r="B35" s="21">
        <v>6376.5789999999997</v>
      </c>
      <c r="C35" s="8">
        <f>B35/(Working_Age_Population!B35/1000000)</f>
        <v>39.945051224657249</v>
      </c>
      <c r="D35" s="4">
        <f t="shared" si="0"/>
        <v>3.6875047903128864</v>
      </c>
      <c r="H35" s="1"/>
      <c r="I35" s="12"/>
      <c r="J35" s="11"/>
    </row>
    <row r="36" spans="1:10" x14ac:dyDescent="0.2">
      <c r="A36" s="1">
        <v>33055</v>
      </c>
      <c r="B36" s="21">
        <v>6401.8410000000003</v>
      </c>
      <c r="C36" s="8">
        <f>B36/(Working_Age_Population!B36/1000000)</f>
        <v>40.011031119005466</v>
      </c>
      <c r="D36" s="4">
        <f t="shared" si="0"/>
        <v>3.689155194069317</v>
      </c>
      <c r="H36" s="1"/>
      <c r="I36" s="12"/>
      <c r="J36" s="11"/>
    </row>
    <row r="37" spans="1:10" x14ac:dyDescent="0.2">
      <c r="A37" s="1">
        <v>33147</v>
      </c>
      <c r="B37" s="21">
        <v>6353.1390000000001</v>
      </c>
      <c r="C37" s="8">
        <f>B37/(Working_Age_Population!B37/1000000)</f>
        <v>39.588107003321269</v>
      </c>
      <c r="D37" s="4">
        <f t="shared" si="0"/>
        <v>3.6785287449539319</v>
      </c>
      <c r="H37" s="1"/>
      <c r="I37" s="12"/>
      <c r="J37" s="11"/>
    </row>
    <row r="38" spans="1:10" x14ac:dyDescent="0.2">
      <c r="A38" s="1">
        <v>33239</v>
      </c>
      <c r="B38" s="21">
        <v>6329.2489999999998</v>
      </c>
      <c r="C38" s="8">
        <f>B38/(Working_Age_Population!B38/1000000)</f>
        <v>39.383526024489392</v>
      </c>
      <c r="D38" s="4">
        <f t="shared" si="0"/>
        <v>3.6733476076609901</v>
      </c>
      <c r="H38" s="1"/>
      <c r="I38" s="12"/>
      <c r="J38" s="11"/>
    </row>
    <row r="39" spans="1:10" x14ac:dyDescent="0.2">
      <c r="A39" s="1">
        <v>33329</v>
      </c>
      <c r="B39" s="21">
        <v>6381.7030000000004</v>
      </c>
      <c r="C39" s="8">
        <f>B39/(Working_Age_Population!B39/1000000)</f>
        <v>39.619737614364716</v>
      </c>
      <c r="D39" s="4">
        <f t="shared" si="0"/>
        <v>3.6793274186933194</v>
      </c>
      <c r="H39" s="1"/>
      <c r="I39" s="12"/>
      <c r="J39" s="11"/>
    </row>
    <row r="40" spans="1:10" x14ac:dyDescent="0.2">
      <c r="A40" s="1">
        <v>33420</v>
      </c>
      <c r="B40" s="21">
        <v>6413.5209999999997</v>
      </c>
      <c r="C40" s="8">
        <f>B40/(Working_Age_Population!B40/1000000)</f>
        <v>39.744738417453796</v>
      </c>
      <c r="D40" s="4">
        <f t="shared" si="0"/>
        <v>3.6824774654825672</v>
      </c>
      <c r="H40" s="1"/>
      <c r="I40" s="12"/>
      <c r="J40" s="11"/>
    </row>
    <row r="41" spans="1:10" x14ac:dyDescent="0.2">
      <c r="A41" s="1">
        <v>33512</v>
      </c>
      <c r="B41" s="21">
        <v>6410.3119999999999</v>
      </c>
      <c r="C41" s="8">
        <f>B41/(Working_Age_Population!B41/1000000)</f>
        <v>39.610056552065934</v>
      </c>
      <c r="D41" s="4">
        <f t="shared" si="0"/>
        <v>3.6790830393547433</v>
      </c>
      <c r="H41" s="1"/>
      <c r="I41" s="12"/>
      <c r="J41" s="11"/>
    </row>
    <row r="42" spans="1:10" x14ac:dyDescent="0.2">
      <c r="A42" s="1">
        <v>33604</v>
      </c>
      <c r="B42" s="21">
        <v>6530.335</v>
      </c>
      <c r="C42" s="8">
        <f>B42/(Working_Age_Population!B42/1000000)</f>
        <v>40.313297890728791</v>
      </c>
      <c r="D42" s="4">
        <f t="shared" si="0"/>
        <v>3.6966813869983532</v>
      </c>
      <c r="H42" s="1"/>
      <c r="I42" s="12"/>
      <c r="J42" s="11"/>
    </row>
    <row r="43" spans="1:10" x14ac:dyDescent="0.2">
      <c r="A43" s="1">
        <v>33695</v>
      </c>
      <c r="B43" s="21">
        <v>6574.665</v>
      </c>
      <c r="C43" s="8">
        <f>B43/(Working_Age_Population!B43/1000000)</f>
        <v>40.490590391079152</v>
      </c>
      <c r="D43" s="4">
        <f t="shared" si="0"/>
        <v>3.7010696110955617</v>
      </c>
      <c r="H43" s="1"/>
      <c r="I43" s="12"/>
      <c r="J43" s="11"/>
    </row>
    <row r="44" spans="1:10" x14ac:dyDescent="0.2">
      <c r="A44" s="1">
        <v>33786</v>
      </c>
      <c r="B44" s="21">
        <v>6645.14</v>
      </c>
      <c r="C44" s="8">
        <f>B44/(Working_Age_Population!B44/1000000)</f>
        <v>40.827301101244245</v>
      </c>
      <c r="D44" s="4">
        <f t="shared" si="0"/>
        <v>3.7093510022710028</v>
      </c>
      <c r="H44" s="1"/>
      <c r="I44" s="12"/>
      <c r="J44" s="11"/>
    </row>
    <row r="45" spans="1:10" x14ac:dyDescent="0.2">
      <c r="A45" s="1">
        <v>33878</v>
      </c>
      <c r="B45" s="21">
        <v>6724.3419999999996</v>
      </c>
      <c r="C45" s="8">
        <f>B45/(Working_Age_Population!B45/1000000)</f>
        <v>41.153768873228621</v>
      </c>
      <c r="D45" s="4">
        <f t="shared" si="0"/>
        <v>3.7173155115859253</v>
      </c>
      <c r="H45" s="1"/>
      <c r="I45" s="12"/>
      <c r="J45" s="11"/>
    </row>
    <row r="46" spans="1:10" x14ac:dyDescent="0.2">
      <c r="A46" s="1">
        <v>33970</v>
      </c>
      <c r="B46" s="21">
        <v>6750.1229999999996</v>
      </c>
      <c r="C46" s="8">
        <f>B46/(Working_Age_Population!B46/1000000)</f>
        <v>41.280131653700863</v>
      </c>
      <c r="D46" s="4">
        <f t="shared" si="0"/>
        <v>3.7203813104536105</v>
      </c>
      <c r="H46" s="1"/>
      <c r="I46" s="12"/>
      <c r="J46" s="11"/>
    </row>
    <row r="47" spans="1:10" x14ac:dyDescent="0.2">
      <c r="A47" s="1">
        <v>34060</v>
      </c>
      <c r="B47" s="21">
        <v>6811.5219999999999</v>
      </c>
      <c r="C47" s="8">
        <f>B47/(Working_Age_Population!B47/1000000)</f>
        <v>41.542620886730433</v>
      </c>
      <c r="D47" s="4">
        <f t="shared" si="0"/>
        <v>3.7267199095421888</v>
      </c>
      <c r="H47" s="1"/>
      <c r="I47" s="12"/>
      <c r="J47" s="11"/>
    </row>
    <row r="48" spans="1:10" x14ac:dyDescent="0.2">
      <c r="A48" s="1">
        <v>34151</v>
      </c>
      <c r="B48" s="21">
        <v>6887.3289999999997</v>
      </c>
      <c r="C48" s="8">
        <f>B48/(Working_Age_Population!B48/1000000)</f>
        <v>41.904153770615679</v>
      </c>
      <c r="D48" s="4">
        <f t="shared" si="0"/>
        <v>3.7353849573513989</v>
      </c>
      <c r="H48" s="1"/>
      <c r="I48" s="12"/>
      <c r="J48" s="11"/>
    </row>
    <row r="49" spans="1:10" x14ac:dyDescent="0.2">
      <c r="A49" s="1">
        <v>34243</v>
      </c>
      <c r="B49" s="21">
        <v>6947.7879999999996</v>
      </c>
      <c r="C49" s="8">
        <f>B49/(Working_Age_Population!B49/1000000)</f>
        <v>42.1417408890103</v>
      </c>
      <c r="D49" s="4">
        <f t="shared" si="0"/>
        <v>3.7410387195542931</v>
      </c>
      <c r="H49" s="1"/>
      <c r="I49" s="12"/>
      <c r="J49" s="11"/>
    </row>
    <row r="50" spans="1:10" x14ac:dyDescent="0.2">
      <c r="A50" s="1">
        <v>34335</v>
      </c>
      <c r="B50" s="21">
        <v>7027.2550000000001</v>
      </c>
      <c r="C50" s="8">
        <f>B50/(Working_Age_Population!B50/1000000)</f>
        <v>42.533735209584648</v>
      </c>
      <c r="D50" s="4">
        <f t="shared" si="0"/>
        <v>3.7502975306991493</v>
      </c>
      <c r="H50" s="1"/>
      <c r="I50" s="12"/>
      <c r="J50" s="11"/>
    </row>
    <row r="51" spans="1:10" x14ac:dyDescent="0.2">
      <c r="A51" s="1">
        <v>34425</v>
      </c>
      <c r="B51" s="21">
        <v>7081.9309999999996</v>
      </c>
      <c r="C51" s="8">
        <f>B51/(Working_Age_Population!B51/1000000)</f>
        <v>42.74153851724887</v>
      </c>
      <c r="D51" s="4">
        <f t="shared" si="0"/>
        <v>3.7551712463710771</v>
      </c>
      <c r="H51" s="1"/>
      <c r="I51" s="12"/>
      <c r="J51" s="11"/>
    </row>
    <row r="52" spans="1:10" x14ac:dyDescent="0.2">
      <c r="A52" s="1">
        <v>34516</v>
      </c>
      <c r="B52" s="21">
        <v>7135.93</v>
      </c>
      <c r="C52" s="8">
        <f>B52/(Working_Age_Population!B52/1000000)</f>
        <v>42.979434710933091</v>
      </c>
      <c r="D52" s="4">
        <f t="shared" si="0"/>
        <v>3.7607217387531175</v>
      </c>
      <c r="H52" s="1"/>
      <c r="I52" s="12"/>
      <c r="J52" s="11"/>
    </row>
    <row r="53" spans="1:10" x14ac:dyDescent="0.2">
      <c r="A53" s="1">
        <v>34608</v>
      </c>
      <c r="B53" s="21">
        <v>7213.0789999999997</v>
      </c>
      <c r="C53" s="8">
        <f>B53/(Working_Age_Population!B53/1000000)</f>
        <v>43.373740082717681</v>
      </c>
      <c r="D53" s="4">
        <f t="shared" si="0"/>
        <v>3.7698541907608298</v>
      </c>
      <c r="H53" s="1"/>
      <c r="I53" s="12"/>
      <c r="J53" s="11"/>
    </row>
    <row r="54" spans="1:10" x14ac:dyDescent="0.2">
      <c r="A54" s="1">
        <v>34700</v>
      </c>
      <c r="B54" s="21">
        <v>7231.0320000000002</v>
      </c>
      <c r="C54" s="8">
        <f>B54/(Working_Age_Population!B54/1000000)</f>
        <v>43.416314325711809</v>
      </c>
      <c r="D54" s="4">
        <f t="shared" si="0"/>
        <v>3.7708352765937456</v>
      </c>
      <c r="H54" s="1"/>
      <c r="I54" s="12"/>
      <c r="J54" s="11"/>
    </row>
    <row r="55" spans="1:10" x14ac:dyDescent="0.2">
      <c r="A55" s="1">
        <v>34790</v>
      </c>
      <c r="B55" s="21">
        <v>7294.424</v>
      </c>
      <c r="C55" s="8">
        <f>B55/(Working_Age_Population!B55/1000000)</f>
        <v>43.684338811225039</v>
      </c>
      <c r="D55" s="4">
        <f t="shared" si="0"/>
        <v>3.7769896582623921</v>
      </c>
      <c r="H55" s="1"/>
      <c r="I55" s="12"/>
      <c r="J55" s="11"/>
    </row>
    <row r="56" spans="1:10" x14ac:dyDescent="0.2">
      <c r="A56" s="1">
        <v>34881</v>
      </c>
      <c r="B56" s="21">
        <v>7360.5290000000005</v>
      </c>
      <c r="C56" s="8">
        <f>B56/(Working_Age_Population!B56/1000000)</f>
        <v>43.988337951976078</v>
      </c>
      <c r="D56" s="4">
        <f t="shared" si="0"/>
        <v>3.7839245522412193</v>
      </c>
      <c r="H56" s="1"/>
      <c r="I56" s="12"/>
      <c r="J56" s="11"/>
    </row>
    <row r="57" spans="1:10" x14ac:dyDescent="0.2">
      <c r="A57" s="1">
        <v>34973</v>
      </c>
      <c r="B57" s="21">
        <v>7411.8729999999996</v>
      </c>
      <c r="C57" s="8">
        <f>B57/(Working_Age_Population!B57/1000000)</f>
        <v>44.177212234605776</v>
      </c>
      <c r="D57" s="4">
        <f t="shared" si="0"/>
        <v>3.788209095833706</v>
      </c>
      <c r="H57" s="1"/>
      <c r="I57" s="12"/>
      <c r="J57" s="11"/>
    </row>
    <row r="58" spans="1:10" x14ac:dyDescent="0.2">
      <c r="A58" s="1">
        <v>35065</v>
      </c>
      <c r="B58" s="21">
        <v>7480.2309999999998</v>
      </c>
      <c r="C58" s="8">
        <f>B58/(Working_Age_Population!B58/1000000)</f>
        <v>44.498097101807673</v>
      </c>
      <c r="D58" s="4">
        <f t="shared" si="0"/>
        <v>3.7954464265007535</v>
      </c>
      <c r="H58" s="1"/>
      <c r="I58" s="12"/>
      <c r="J58" s="11"/>
    </row>
    <row r="59" spans="1:10" x14ac:dyDescent="0.2">
      <c r="A59" s="1">
        <v>35156</v>
      </c>
      <c r="B59" s="21">
        <v>7560.7020000000002</v>
      </c>
      <c r="C59" s="8">
        <f>B59/(Working_Age_Population!B59/1000000)</f>
        <v>44.833606181178546</v>
      </c>
      <c r="D59" s="4">
        <f t="shared" si="0"/>
        <v>3.8029579961808091</v>
      </c>
      <c r="H59" s="1"/>
      <c r="I59" s="12"/>
      <c r="J59" s="11"/>
    </row>
    <row r="60" spans="1:10" x14ac:dyDescent="0.2">
      <c r="A60" s="1">
        <v>35247</v>
      </c>
      <c r="B60" s="21">
        <v>7606.4750000000004</v>
      </c>
      <c r="C60" s="8">
        <f>B60/(Working_Age_Population!B60/1000000)</f>
        <v>45.001280764383807</v>
      </c>
      <c r="D60" s="4">
        <f t="shared" si="0"/>
        <v>3.8066909507960522</v>
      </c>
      <c r="H60" s="1"/>
      <c r="I60" s="12"/>
      <c r="J60" s="11"/>
    </row>
    <row r="61" spans="1:10" x14ac:dyDescent="0.2">
      <c r="A61" s="1">
        <v>35339</v>
      </c>
      <c r="B61" s="21">
        <v>7667.0619999999999</v>
      </c>
      <c r="C61" s="8">
        <f>B61/(Working_Age_Population!B61/1000000)</f>
        <v>45.203988201188253</v>
      </c>
      <c r="D61" s="4">
        <f t="shared" si="0"/>
        <v>3.8111853174853105</v>
      </c>
      <c r="H61" s="1"/>
      <c r="I61" s="12"/>
      <c r="J61" s="11"/>
    </row>
    <row r="62" spans="1:10" x14ac:dyDescent="0.2">
      <c r="A62" s="1">
        <v>35431</v>
      </c>
      <c r="B62" s="21">
        <v>7747.88</v>
      </c>
      <c r="C62" s="8">
        <f>B62/(Working_Age_Population!B62/1000000)</f>
        <v>45.450108523493874</v>
      </c>
      <c r="D62" s="4">
        <f t="shared" si="0"/>
        <v>3.8166152083762781</v>
      </c>
      <c r="H62" s="1"/>
      <c r="I62" s="12"/>
      <c r="J62" s="11"/>
    </row>
    <row r="63" spans="1:10" x14ac:dyDescent="0.2">
      <c r="A63" s="1">
        <v>35521</v>
      </c>
      <c r="B63" s="21">
        <v>7782.76</v>
      </c>
      <c r="C63" s="8">
        <f>B63/(Working_Age_Population!B63/1000000)</f>
        <v>45.537600827455954</v>
      </c>
      <c r="D63" s="4">
        <f t="shared" si="0"/>
        <v>3.8185383764954142</v>
      </c>
      <c r="H63" s="1"/>
      <c r="I63" s="12"/>
      <c r="J63" s="11"/>
    </row>
    <row r="64" spans="1:10" x14ac:dyDescent="0.2">
      <c r="A64" s="1">
        <v>35612</v>
      </c>
      <c r="B64" s="21">
        <v>7915.3590000000004</v>
      </c>
      <c r="C64" s="8">
        <f>B64/(Working_Age_Population!B64/1000000)</f>
        <v>46.194755715440074</v>
      </c>
      <c r="D64" s="4">
        <f t="shared" si="0"/>
        <v>3.832866278991832</v>
      </c>
      <c r="H64" s="1"/>
      <c r="I64" s="12"/>
      <c r="J64" s="11"/>
    </row>
    <row r="65" spans="1:10" x14ac:dyDescent="0.2">
      <c r="A65" s="1">
        <v>35704</v>
      </c>
      <c r="B65" s="21">
        <v>8009.9639999999999</v>
      </c>
      <c r="C65" s="8">
        <f>B65/(Working_Age_Population!B65/1000000)</f>
        <v>46.615749197575525</v>
      </c>
      <c r="D65" s="4">
        <f t="shared" si="0"/>
        <v>3.8419384496472953</v>
      </c>
      <c r="H65" s="1"/>
      <c r="I65" s="12"/>
      <c r="J65" s="11"/>
    </row>
    <row r="66" spans="1:10" x14ac:dyDescent="0.2">
      <c r="A66" s="1">
        <v>35796</v>
      </c>
      <c r="B66" s="21">
        <v>8090.9870000000001</v>
      </c>
      <c r="C66" s="8">
        <f>B66/(Working_Age_Population!B66/1000000)</f>
        <v>46.968140149161556</v>
      </c>
      <c r="D66" s="4">
        <f t="shared" si="0"/>
        <v>3.8494695026860981</v>
      </c>
      <c r="H66" s="1"/>
      <c r="I66" s="12"/>
      <c r="J66" s="11"/>
    </row>
    <row r="67" spans="1:10" x14ac:dyDescent="0.2">
      <c r="A67" s="1">
        <v>35886</v>
      </c>
      <c r="B67" s="21">
        <v>8233.4629999999997</v>
      </c>
      <c r="C67" s="8">
        <f>B67/(Working_Age_Population!B67/1000000)</f>
        <v>47.670776903698631</v>
      </c>
      <c r="D67" s="4">
        <f t="shared" ref="D67:D130" si="1">LN(C67)</f>
        <v>3.8643185666232349</v>
      </c>
      <c r="H67" s="1"/>
      <c r="I67" s="12"/>
      <c r="J67" s="11"/>
    </row>
    <row r="68" spans="1:10" x14ac:dyDescent="0.2">
      <c r="A68" s="1">
        <v>35977</v>
      </c>
      <c r="B68" s="21">
        <v>8340.8310000000001</v>
      </c>
      <c r="C68" s="8">
        <f>B68/(Working_Age_Population!B68/1000000)</f>
        <v>48.138397470693519</v>
      </c>
      <c r="D68" s="4">
        <f t="shared" si="1"/>
        <v>3.8740801428663443</v>
      </c>
      <c r="H68" s="1"/>
      <c r="I68" s="12"/>
      <c r="J68" s="11"/>
    </row>
    <row r="69" spans="1:10" x14ac:dyDescent="0.2">
      <c r="A69" s="1">
        <v>36069</v>
      </c>
      <c r="B69" s="21">
        <v>8461.33</v>
      </c>
      <c r="C69" s="8">
        <f>B69/(Working_Age_Population!B69/1000000)</f>
        <v>48.70730999707704</v>
      </c>
      <c r="D69" s="4">
        <f t="shared" si="1"/>
        <v>3.8858291214336593</v>
      </c>
      <c r="H69" s="1"/>
      <c r="I69" s="12"/>
      <c r="J69" s="11"/>
    </row>
    <row r="70" spans="1:10" x14ac:dyDescent="0.2">
      <c r="A70" s="1">
        <v>36161</v>
      </c>
      <c r="B70" s="21">
        <v>8548.2350000000006</v>
      </c>
      <c r="C70" s="8">
        <f>B70/(Working_Age_Population!B70/1000000)</f>
        <v>48.981387338110522</v>
      </c>
      <c r="D70" s="4">
        <f t="shared" si="1"/>
        <v>3.8914403757066065</v>
      </c>
      <c r="H70" s="1"/>
      <c r="I70" s="12"/>
      <c r="J70" s="11"/>
    </row>
    <row r="71" spans="1:10" x14ac:dyDescent="0.2">
      <c r="A71" s="1">
        <v>36251</v>
      </c>
      <c r="B71" s="21">
        <v>8679.143</v>
      </c>
      <c r="C71" s="8">
        <f>B71/(Working_Age_Population!B71/1000000)</f>
        <v>49.590691552597718</v>
      </c>
      <c r="D71" s="4">
        <f t="shared" si="1"/>
        <v>3.9038031458080757</v>
      </c>
      <c r="H71" s="1"/>
      <c r="I71" s="12"/>
      <c r="J71" s="11"/>
    </row>
    <row r="72" spans="1:10" x14ac:dyDescent="0.2">
      <c r="A72" s="1">
        <v>36342</v>
      </c>
      <c r="B72" s="21">
        <v>8776.7150000000001</v>
      </c>
      <c r="C72" s="8">
        <f>B72/(Working_Age_Population!B72/1000000)</f>
        <v>49.987688345068619</v>
      </c>
      <c r="D72" s="4">
        <f t="shared" si="1"/>
        <v>3.9117767420091716</v>
      </c>
      <c r="H72" s="1"/>
      <c r="I72" s="12"/>
      <c r="J72" s="11"/>
    </row>
    <row r="73" spans="1:10" x14ac:dyDescent="0.2">
      <c r="A73" s="1">
        <v>36434</v>
      </c>
      <c r="B73" s="21">
        <v>8905.0930000000008</v>
      </c>
      <c r="C73" s="8">
        <f>B73/(Working_Age_Population!B73/1000000)</f>
        <v>50.58079551599257</v>
      </c>
      <c r="D73" s="4">
        <f t="shared" si="1"/>
        <v>3.9235719689946214</v>
      </c>
      <c r="H73" s="1"/>
      <c r="I73" s="12"/>
      <c r="J73" s="11"/>
    </row>
    <row r="74" spans="1:10" x14ac:dyDescent="0.2">
      <c r="A74" s="1">
        <v>36526</v>
      </c>
      <c r="B74" s="21">
        <v>9039.7430000000004</v>
      </c>
      <c r="C74" s="8">
        <f>B74/(Working_Age_Population!B74/1000000)</f>
        <v>50.703889839302242</v>
      </c>
      <c r="D74" s="4">
        <f t="shared" si="1"/>
        <v>3.9260026303227873</v>
      </c>
      <c r="H74" s="1"/>
      <c r="I74" s="12"/>
      <c r="J74" s="11"/>
    </row>
    <row r="75" spans="1:10" x14ac:dyDescent="0.2">
      <c r="A75" s="1">
        <v>36617</v>
      </c>
      <c r="B75" s="21">
        <v>9124.152</v>
      </c>
      <c r="C75" s="8">
        <f>B75/(Working_Age_Population!B75/1000000)</f>
        <v>51.032587265445017</v>
      </c>
      <c r="D75" s="4">
        <f t="shared" si="1"/>
        <v>3.9324643946615931</v>
      </c>
      <c r="H75" s="1"/>
      <c r="I75" s="12"/>
      <c r="J75" s="11"/>
    </row>
    <row r="76" spans="1:10" x14ac:dyDescent="0.2">
      <c r="A76" s="1">
        <v>36708</v>
      </c>
      <c r="B76" s="21">
        <v>9211.5689999999995</v>
      </c>
      <c r="C76" s="8">
        <f>B76/(Working_Age_Population!B76/1000000)</f>
        <v>51.324261614943303</v>
      </c>
      <c r="D76" s="4">
        <f t="shared" si="1"/>
        <v>3.9381635763415659</v>
      </c>
      <c r="H76" s="1"/>
      <c r="I76" s="12"/>
      <c r="J76" s="11"/>
    </row>
    <row r="77" spans="1:10" x14ac:dyDescent="0.2">
      <c r="A77" s="1">
        <v>36800</v>
      </c>
      <c r="B77" s="21">
        <v>9292.0499999999993</v>
      </c>
      <c r="C77" s="8">
        <f>B77/(Working_Age_Population!B77/1000000)</f>
        <v>51.64236308735348</v>
      </c>
      <c r="D77" s="4">
        <f t="shared" si="1"/>
        <v>3.9443423257245058</v>
      </c>
      <c r="H77" s="1"/>
      <c r="I77" s="12"/>
      <c r="J77" s="11"/>
    </row>
    <row r="78" spans="1:10" x14ac:dyDescent="0.2">
      <c r="A78" s="1">
        <v>36892</v>
      </c>
      <c r="B78" s="21">
        <v>9325.7510000000002</v>
      </c>
      <c r="C78" s="8">
        <f>B78/(Working_Age_Population!B78/1000000)</f>
        <v>51.671334719620397</v>
      </c>
      <c r="D78" s="4">
        <f t="shared" si="1"/>
        <v>3.9449031735818822</v>
      </c>
      <c r="H78" s="1"/>
      <c r="I78" s="12"/>
      <c r="J78" s="11"/>
    </row>
    <row r="79" spans="1:10" x14ac:dyDescent="0.2">
      <c r="A79" s="1">
        <v>36982</v>
      </c>
      <c r="B79" s="21">
        <v>9344.4860000000008</v>
      </c>
      <c r="C79" s="8">
        <f>B79/(Working_Age_Population!B79/1000000)</f>
        <v>51.606200027698236</v>
      </c>
      <c r="D79" s="4">
        <f t="shared" si="1"/>
        <v>3.9436418208449613</v>
      </c>
      <c r="H79" s="1"/>
      <c r="I79" s="12"/>
      <c r="J79" s="11"/>
    </row>
    <row r="80" spans="1:10" x14ac:dyDescent="0.2">
      <c r="A80" s="1">
        <v>37073</v>
      </c>
      <c r="B80" s="21">
        <v>9377.0030000000006</v>
      </c>
      <c r="C80" s="8">
        <f>B80/(Working_Age_Population!B80/1000000)</f>
        <v>51.572641389634583</v>
      </c>
      <c r="D80" s="4">
        <f t="shared" si="1"/>
        <v>3.9429913262515734</v>
      </c>
      <c r="H80" s="1"/>
      <c r="I80" s="12"/>
      <c r="J80" s="11"/>
    </row>
    <row r="81" spans="1:10" x14ac:dyDescent="0.2">
      <c r="A81" s="1">
        <v>37165</v>
      </c>
      <c r="B81" s="21">
        <v>9528.3019999999997</v>
      </c>
      <c r="C81" s="8">
        <f>B81/(Working_Age_Population!B81/1000000)</f>
        <v>52.212267726268848</v>
      </c>
      <c r="D81" s="4">
        <f t="shared" si="1"/>
        <v>3.9553174811903458</v>
      </c>
      <c r="H81" s="1"/>
      <c r="I81" s="12"/>
      <c r="J81" s="11"/>
    </row>
    <row r="82" spans="1:10" x14ac:dyDescent="0.2">
      <c r="A82" s="1">
        <v>37257</v>
      </c>
      <c r="B82" s="21">
        <v>9549.5159999999996</v>
      </c>
      <c r="C82" s="8">
        <f>B82/(Working_Age_Population!B82/1000000)</f>
        <v>52.225527272130662</v>
      </c>
      <c r="D82" s="4">
        <f t="shared" si="1"/>
        <v>3.955571403555008</v>
      </c>
      <c r="H82" s="1"/>
      <c r="I82" s="12"/>
      <c r="J82" s="11"/>
    </row>
    <row r="83" spans="1:10" x14ac:dyDescent="0.2">
      <c r="A83" s="1">
        <v>37347</v>
      </c>
      <c r="B83" s="21">
        <v>9597.82</v>
      </c>
      <c r="C83" s="8">
        <f>B83/(Working_Age_Population!B83/1000000)</f>
        <v>52.309374955939099</v>
      </c>
      <c r="D83" s="4">
        <f t="shared" si="1"/>
        <v>3.9571756084665339</v>
      </c>
      <c r="H83" s="1"/>
      <c r="I83" s="12"/>
      <c r="J83" s="11"/>
    </row>
    <row r="84" spans="1:10" x14ac:dyDescent="0.2">
      <c r="A84" s="1">
        <v>37438</v>
      </c>
      <c r="B84" s="21">
        <v>9664.9879999999994</v>
      </c>
      <c r="C84" s="8">
        <f>B84/(Working_Age_Population!B84/1000000)</f>
        <v>52.502426848247964</v>
      </c>
      <c r="D84" s="4">
        <f t="shared" si="1"/>
        <v>3.960859394210118</v>
      </c>
      <c r="H84" s="1"/>
      <c r="I84" s="12"/>
      <c r="J84" s="11"/>
    </row>
    <row r="85" spans="1:10" x14ac:dyDescent="0.2">
      <c r="A85" s="1">
        <v>37530</v>
      </c>
      <c r="B85" s="21">
        <v>9718.7450000000008</v>
      </c>
      <c r="C85" s="8">
        <f>B85/(Working_Age_Population!B85/1000000)</f>
        <v>52.614308694564798</v>
      </c>
      <c r="D85" s="4">
        <f t="shared" si="1"/>
        <v>3.9629881111644232</v>
      </c>
      <c r="H85" s="1"/>
      <c r="I85" s="12"/>
      <c r="J85" s="11"/>
    </row>
    <row r="86" spans="1:10" x14ac:dyDescent="0.2">
      <c r="A86" s="1">
        <v>37622</v>
      </c>
      <c r="B86" s="21">
        <v>9766.616</v>
      </c>
      <c r="C86" s="8">
        <f>B86/(Working_Age_Population!B86/1000000)</f>
        <v>52.546553614089014</v>
      </c>
      <c r="D86" s="4">
        <f t="shared" si="1"/>
        <v>3.9616995121863652</v>
      </c>
      <c r="H86" s="1"/>
      <c r="I86" s="12"/>
      <c r="J86" s="11"/>
    </row>
    <row r="87" spans="1:10" x14ac:dyDescent="0.2">
      <c r="A87" s="1">
        <v>37712</v>
      </c>
      <c r="B87" s="21">
        <v>9878.4419999999991</v>
      </c>
      <c r="C87" s="8">
        <f>B87/(Working_Age_Population!B87/1000000)</f>
        <v>52.914933601130834</v>
      </c>
      <c r="D87" s="4">
        <f t="shared" si="1"/>
        <v>3.9686855977235989</v>
      </c>
      <c r="H87" s="1"/>
      <c r="I87" s="12"/>
      <c r="J87" s="11"/>
    </row>
    <row r="88" spans="1:10" x14ac:dyDescent="0.2">
      <c r="A88" s="1">
        <v>37803</v>
      </c>
      <c r="B88" s="21">
        <v>10018.121999999999</v>
      </c>
      <c r="C88" s="8">
        <f>B88/(Working_Age_Population!B88/1000000)</f>
        <v>53.467701399792247</v>
      </c>
      <c r="D88" s="4">
        <f t="shared" si="1"/>
        <v>3.979077759440985</v>
      </c>
      <c r="H88" s="1"/>
      <c r="I88" s="12"/>
      <c r="J88" s="11"/>
    </row>
    <row r="89" spans="1:10" x14ac:dyDescent="0.2">
      <c r="A89" s="1">
        <v>37895</v>
      </c>
      <c r="B89" s="21">
        <v>10087.092000000001</v>
      </c>
      <c r="C89" s="8">
        <f>B89/(Working_Age_Population!B89/1000000)</f>
        <v>53.687290316039622</v>
      </c>
      <c r="D89" s="4">
        <f t="shared" si="1"/>
        <v>3.9831762940984698</v>
      </c>
      <c r="H89" s="1"/>
      <c r="I89" s="12"/>
      <c r="J89" s="11"/>
    </row>
    <row r="90" spans="1:10" x14ac:dyDescent="0.2">
      <c r="A90" s="1">
        <v>37987</v>
      </c>
      <c r="B90" s="21">
        <v>10181.141</v>
      </c>
      <c r="C90" s="8">
        <f>B90/(Working_Age_Population!B90/1000000)</f>
        <v>54.202643965267619</v>
      </c>
      <c r="D90" s="4">
        <f t="shared" si="1"/>
        <v>3.9927296889028185</v>
      </c>
      <c r="H90" s="1"/>
      <c r="I90" s="12"/>
      <c r="J90" s="11"/>
    </row>
    <row r="91" spans="1:10" x14ac:dyDescent="0.2">
      <c r="A91" s="1">
        <v>38078</v>
      </c>
      <c r="B91" s="21">
        <v>10236.694</v>
      </c>
      <c r="C91" s="8">
        <f>B91/(Working_Age_Population!B91/1000000)</f>
        <v>54.300461182610917</v>
      </c>
      <c r="D91" s="4">
        <f t="shared" si="1"/>
        <v>3.9945327201379093</v>
      </c>
      <c r="H91" s="1"/>
      <c r="I91" s="12"/>
      <c r="J91" s="11"/>
    </row>
    <row r="92" spans="1:10" x14ac:dyDescent="0.2">
      <c r="A92" s="1">
        <v>38169</v>
      </c>
      <c r="B92" s="21">
        <v>10356.936</v>
      </c>
      <c r="C92" s="8">
        <f>B92/(Working_Age_Population!B92/1000000)</f>
        <v>54.789809844962811</v>
      </c>
      <c r="D92" s="4">
        <f t="shared" si="1"/>
        <v>4.0035042249285473</v>
      </c>
      <c r="H92" s="1"/>
      <c r="I92" s="12"/>
      <c r="J92" s="11"/>
    </row>
    <row r="93" spans="1:10" x14ac:dyDescent="0.2">
      <c r="A93" s="1">
        <v>38261</v>
      </c>
      <c r="B93" s="21">
        <v>10474.084000000001</v>
      </c>
      <c r="C93" s="8">
        <f>B93/(Working_Age_Population!B93/1000000)</f>
        <v>55.227504489769231</v>
      </c>
      <c r="D93" s="4">
        <f t="shared" si="1"/>
        <v>4.0114610989300976</v>
      </c>
      <c r="H93" s="1"/>
      <c r="I93" s="12"/>
      <c r="J93" s="11"/>
    </row>
    <row r="94" spans="1:10" x14ac:dyDescent="0.2">
      <c r="A94" s="1">
        <v>38353</v>
      </c>
      <c r="B94" s="21">
        <v>10540.638000000001</v>
      </c>
      <c r="C94" s="8">
        <f>B94/(Working_Age_Population!B94/1000000)</f>
        <v>55.413132389789624</v>
      </c>
      <c r="D94" s="4">
        <f t="shared" si="1"/>
        <v>4.0148166124092022</v>
      </c>
      <c r="H94" s="1"/>
      <c r="I94" s="12"/>
      <c r="J94" s="11"/>
    </row>
    <row r="95" spans="1:10" x14ac:dyDescent="0.2">
      <c r="A95" s="1">
        <v>38443</v>
      </c>
      <c r="B95" s="21">
        <v>10657.449000000001</v>
      </c>
      <c r="C95" s="8">
        <f>B95/(Working_Age_Population!B95/1000000)</f>
        <v>55.888823045605704</v>
      </c>
      <c r="D95" s="4">
        <f t="shared" si="1"/>
        <v>4.0233644146523915</v>
      </c>
      <c r="H95" s="1"/>
      <c r="I95" s="12"/>
      <c r="J95" s="11"/>
    </row>
    <row r="96" spans="1:10" x14ac:dyDescent="0.2">
      <c r="A96" s="1">
        <v>38534</v>
      </c>
      <c r="B96" s="21">
        <v>10745.873</v>
      </c>
      <c r="C96" s="8">
        <f>B96/(Working_Age_Population!B96/1000000)</f>
        <v>56.19046023945377</v>
      </c>
      <c r="D96" s="4">
        <f t="shared" si="1"/>
        <v>4.0287469958621189</v>
      </c>
      <c r="H96" s="1"/>
      <c r="I96" s="12"/>
      <c r="J96" s="11"/>
    </row>
    <row r="97" spans="1:10" x14ac:dyDescent="0.2">
      <c r="A97" s="1">
        <v>38626</v>
      </c>
      <c r="B97" s="21">
        <v>10765.68</v>
      </c>
      <c r="C97" s="8">
        <f>B97/(Working_Age_Population!B97/1000000)</f>
        <v>56.083985738428105</v>
      </c>
      <c r="D97" s="4">
        <f t="shared" si="1"/>
        <v>4.0268503125693602</v>
      </c>
      <c r="H97" s="1"/>
      <c r="I97" s="12"/>
      <c r="J97" s="11"/>
    </row>
    <row r="98" spans="1:10" x14ac:dyDescent="0.2">
      <c r="A98" s="1">
        <v>38718</v>
      </c>
      <c r="B98" s="21">
        <v>10883.075000000001</v>
      </c>
      <c r="C98" s="8">
        <f>B98/(Working_Age_Population!B98/1000000)</f>
        <v>56.539595887283177</v>
      </c>
      <c r="D98" s="4">
        <f t="shared" si="1"/>
        <v>4.0349412048625259</v>
      </c>
      <c r="H98" s="1"/>
      <c r="I98" s="12"/>
      <c r="J98" s="11"/>
    </row>
    <row r="99" spans="1:10" x14ac:dyDescent="0.2">
      <c r="A99" s="1">
        <v>38808</v>
      </c>
      <c r="B99" s="21">
        <v>10939.498</v>
      </c>
      <c r="C99" s="8">
        <f>B99/(Working_Age_Population!B99/1000000)</f>
        <v>56.690187800150163</v>
      </c>
      <c r="D99" s="4">
        <f t="shared" si="1"/>
        <v>4.0376011410869461</v>
      </c>
      <c r="H99" s="1"/>
      <c r="I99" s="12"/>
      <c r="J99" s="11"/>
    </row>
    <row r="100" spans="1:10" x14ac:dyDescent="0.2">
      <c r="A100" s="1">
        <v>38899</v>
      </c>
      <c r="B100" s="21">
        <v>11009.748</v>
      </c>
      <c r="C100" s="8">
        <f>B100/(Working_Age_Population!B100/1000000)</f>
        <v>56.897461714095577</v>
      </c>
      <c r="D100" s="4">
        <f t="shared" si="1"/>
        <v>4.0412507305431458</v>
      </c>
      <c r="H100" s="1"/>
      <c r="I100" s="12"/>
      <c r="J100" s="11"/>
    </row>
    <row r="101" spans="1:10" x14ac:dyDescent="0.2">
      <c r="A101" s="1">
        <v>38991</v>
      </c>
      <c r="B101" s="21">
        <v>11114.771000000001</v>
      </c>
      <c r="C101" s="8">
        <f>B101/(Working_Age_Population!B101/1000000)</f>
        <v>57.319481697646502</v>
      </c>
      <c r="D101" s="4">
        <f t="shared" si="1"/>
        <v>4.0486405606589102</v>
      </c>
      <c r="H101" s="1"/>
      <c r="I101" s="12"/>
      <c r="J101" s="11"/>
    </row>
    <row r="102" spans="1:10" x14ac:dyDescent="0.2">
      <c r="A102" s="1">
        <v>39083</v>
      </c>
      <c r="B102" s="21">
        <v>11183.323</v>
      </c>
      <c r="C102" s="8">
        <f>B102/(Working_Age_Population!B102/1000000)</f>
        <v>57.346335706521756</v>
      </c>
      <c r="D102" s="4">
        <f t="shared" si="1"/>
        <v>4.0491089480122495</v>
      </c>
      <c r="H102" s="1"/>
      <c r="I102" s="12"/>
      <c r="J102" s="11"/>
    </row>
    <row r="103" spans="1:10" x14ac:dyDescent="0.2">
      <c r="A103" s="1">
        <v>39173</v>
      </c>
      <c r="B103" s="21">
        <v>11212.669</v>
      </c>
      <c r="C103" s="8">
        <f>B103/(Working_Age_Population!B103/1000000)</f>
        <v>57.371374179324775</v>
      </c>
      <c r="D103" s="4">
        <f t="shared" si="1"/>
        <v>4.0495454712522188</v>
      </c>
      <c r="H103" s="1"/>
      <c r="I103" s="12"/>
      <c r="J103" s="11"/>
    </row>
    <row r="104" spans="1:10" x14ac:dyDescent="0.2">
      <c r="A104" s="1">
        <v>39264</v>
      </c>
      <c r="B104" s="21">
        <v>11287.468000000001</v>
      </c>
      <c r="C104" s="8">
        <f>B104/(Working_Age_Population!B104/1000000)</f>
        <v>57.603944590497619</v>
      </c>
      <c r="D104" s="4">
        <f t="shared" si="1"/>
        <v>4.0535910478309454</v>
      </c>
      <c r="H104" s="1"/>
      <c r="I104" s="12"/>
      <c r="J104" s="11"/>
    </row>
    <row r="105" spans="1:10" x14ac:dyDescent="0.2">
      <c r="A105" s="1">
        <v>39356</v>
      </c>
      <c r="B105" s="21">
        <v>11331.949000000001</v>
      </c>
      <c r="C105" s="8">
        <f>B105/(Working_Age_Population!B105/1000000)</f>
        <v>57.747447038697388</v>
      </c>
      <c r="D105" s="4">
        <f t="shared" si="1"/>
        <v>4.0560791413026163</v>
      </c>
      <c r="H105" s="1"/>
      <c r="I105" s="12"/>
      <c r="J105" s="11"/>
    </row>
    <row r="106" spans="1:10" x14ac:dyDescent="0.2">
      <c r="A106" s="1">
        <v>39448</v>
      </c>
      <c r="B106" s="21">
        <v>11316.411</v>
      </c>
      <c r="C106" s="8">
        <f>B106/(Working_Age_Population!B106/1000000)</f>
        <v>57.671900218515873</v>
      </c>
      <c r="D106" s="4">
        <f t="shared" si="1"/>
        <v>4.0547700569460412</v>
      </c>
      <c r="H106" s="1"/>
      <c r="I106" s="12"/>
      <c r="J106" s="11"/>
    </row>
    <row r="107" spans="1:10" x14ac:dyDescent="0.2">
      <c r="A107" s="1">
        <v>39539</v>
      </c>
      <c r="B107" s="21">
        <v>11347.594999999999</v>
      </c>
      <c r="C107" s="8">
        <f>B107/(Working_Age_Population!B107/1000000)</f>
        <v>57.780135955890856</v>
      </c>
      <c r="D107" s="4">
        <f t="shared" si="1"/>
        <v>4.0566450480275478</v>
      </c>
      <c r="H107" s="1"/>
      <c r="I107" s="12"/>
      <c r="J107" s="11"/>
    </row>
    <row r="108" spans="1:10" x14ac:dyDescent="0.2">
      <c r="A108" s="1">
        <v>39630</v>
      </c>
      <c r="B108" s="21">
        <v>11260.136</v>
      </c>
      <c r="C108" s="8">
        <f>B108/(Working_Age_Population!B108/1000000)</f>
        <v>57.244605476647273</v>
      </c>
      <c r="D108" s="4">
        <f t="shared" si="1"/>
        <v>4.0473334105125174</v>
      </c>
      <c r="H108" s="1"/>
      <c r="I108" s="12"/>
      <c r="J108" s="11"/>
    </row>
    <row r="109" spans="1:10" x14ac:dyDescent="0.2">
      <c r="A109" s="1">
        <v>39722</v>
      </c>
      <c r="B109" s="21">
        <v>11158.800999999999</v>
      </c>
      <c r="C109" s="8">
        <f>B109/(Working_Age_Population!B109/1000000)</f>
        <v>56.590803513469652</v>
      </c>
      <c r="D109" s="4">
        <f t="shared" si="1"/>
        <v>4.0358464899133164</v>
      </c>
      <c r="H109" s="1"/>
      <c r="I109" s="12"/>
      <c r="J109" s="11"/>
    </row>
    <row r="110" spans="1:10" x14ac:dyDescent="0.2">
      <c r="A110" s="1">
        <v>39814</v>
      </c>
      <c r="B110" s="21">
        <v>11130.464</v>
      </c>
      <c r="C110" s="8">
        <f>B110/(Working_Age_Population!B110/1000000)</f>
        <v>56.418969162464144</v>
      </c>
      <c r="D110" s="4">
        <f t="shared" si="1"/>
        <v>4.032805434624664</v>
      </c>
      <c r="H110" s="1"/>
      <c r="I110" s="12"/>
      <c r="J110" s="11"/>
    </row>
    <row r="111" spans="1:10" x14ac:dyDescent="0.2">
      <c r="A111" s="1">
        <v>39904</v>
      </c>
      <c r="B111" s="21">
        <v>11075.748</v>
      </c>
      <c r="C111" s="8">
        <f>B111/(Working_Age_Population!B111/1000000)</f>
        <v>55.995002236286822</v>
      </c>
      <c r="D111" s="4">
        <f t="shared" si="1"/>
        <v>4.0252624409719155</v>
      </c>
      <c r="H111" s="1"/>
      <c r="I111" s="12"/>
      <c r="J111" s="11"/>
    </row>
    <row r="112" spans="1:10" x14ac:dyDescent="0.2">
      <c r="A112" s="1">
        <v>39995</v>
      </c>
      <c r="B112" s="21">
        <v>11150.23</v>
      </c>
      <c r="C112" s="8">
        <f>B112/(Working_Age_Population!B112/1000000)</f>
        <v>56.302103523880007</v>
      </c>
      <c r="D112" s="4">
        <f t="shared" si="1"/>
        <v>4.0307318972164126</v>
      </c>
      <c r="H112" s="1"/>
      <c r="I112" s="12"/>
      <c r="J112" s="11"/>
    </row>
    <row r="113" spans="1:10" x14ac:dyDescent="0.2">
      <c r="A113" s="1">
        <v>40087</v>
      </c>
      <c r="B113" s="21">
        <v>11137.946</v>
      </c>
      <c r="C113" s="8">
        <f>B113/(Working_Age_Population!B113/1000000)</f>
        <v>56.049107630020934</v>
      </c>
      <c r="D113" s="4">
        <f t="shared" si="1"/>
        <v>4.0262282284283772</v>
      </c>
      <c r="H113" s="1"/>
      <c r="I113" s="12"/>
      <c r="J113" s="11"/>
    </row>
    <row r="114" spans="1:10" x14ac:dyDescent="0.2">
      <c r="A114" s="1">
        <v>40179</v>
      </c>
      <c r="B114" s="21">
        <v>11202.495000000001</v>
      </c>
      <c r="C114" s="8">
        <f>B114/(Working_Age_Population!B114/1000000)</f>
        <v>56.453916399284203</v>
      </c>
      <c r="D114" s="4">
        <f t="shared" si="1"/>
        <v>4.0334246663872406</v>
      </c>
      <c r="H114" s="1"/>
      <c r="I114" s="12"/>
      <c r="J114" s="11"/>
    </row>
    <row r="115" spans="1:10" x14ac:dyDescent="0.2">
      <c r="A115" s="1">
        <v>40269</v>
      </c>
      <c r="B115" s="21">
        <v>11302.955</v>
      </c>
      <c r="C115" s="8">
        <f>B115/(Working_Age_Population!B115/1000000)</f>
        <v>56.797046951837885</v>
      </c>
      <c r="D115" s="4">
        <f t="shared" si="1"/>
        <v>4.0394843340910196</v>
      </c>
      <c r="H115" s="1"/>
      <c r="I115" s="12"/>
      <c r="J115" s="11"/>
    </row>
    <row r="116" spans="1:10" x14ac:dyDescent="0.2">
      <c r="A116" s="1">
        <v>40360</v>
      </c>
      <c r="B116" s="21">
        <v>11383.596</v>
      </c>
      <c r="C116" s="8">
        <f>B116/(Working_Age_Population!B116/1000000)</f>
        <v>57.130830335000049</v>
      </c>
      <c r="D116" s="4">
        <f t="shared" si="1"/>
        <v>4.0453439067634323</v>
      </c>
      <c r="H116" s="1"/>
      <c r="I116" s="12"/>
      <c r="J116" s="11"/>
    </row>
    <row r="117" spans="1:10" x14ac:dyDescent="0.2">
      <c r="A117" s="1">
        <v>40452</v>
      </c>
      <c r="B117" s="21">
        <v>11453.368</v>
      </c>
      <c r="C117" s="8">
        <f>B117/(Working_Age_Population!B117/1000000)</f>
        <v>57.278591562237871</v>
      </c>
      <c r="D117" s="4">
        <f t="shared" si="1"/>
        <v>4.0479269337020023</v>
      </c>
      <c r="H117" s="1"/>
      <c r="I117" s="12"/>
      <c r="J117" s="11"/>
    </row>
    <row r="118" spans="1:10" x14ac:dyDescent="0.2">
      <c r="A118" s="1">
        <v>40544</v>
      </c>
      <c r="B118" s="21">
        <v>11497.12</v>
      </c>
      <c r="C118" s="8">
        <f>B118/(Working_Age_Population!B118/1000000)</f>
        <v>57.675959504344092</v>
      </c>
      <c r="D118" s="4">
        <f t="shared" si="1"/>
        <v>4.0548404403209846</v>
      </c>
      <c r="H118" s="1"/>
      <c r="I118" s="12"/>
      <c r="J118" s="11"/>
    </row>
    <row r="119" spans="1:10" x14ac:dyDescent="0.2">
      <c r="A119" s="1">
        <v>40634</v>
      </c>
      <c r="B119" s="21">
        <v>11508.95</v>
      </c>
      <c r="C119" s="8">
        <f>B119/(Working_Age_Population!B119/1000000)</f>
        <v>57.549162006505235</v>
      </c>
      <c r="D119" s="4">
        <f t="shared" si="1"/>
        <v>4.0526395739238277</v>
      </c>
      <c r="H119" s="1"/>
      <c r="I119" s="12"/>
      <c r="J119" s="11"/>
    </row>
    <row r="120" spans="1:10" x14ac:dyDescent="0.2">
      <c r="A120" s="1">
        <v>40725</v>
      </c>
      <c r="B120" s="21">
        <v>11543.975</v>
      </c>
      <c r="C120" s="8">
        <f>B120/(Working_Age_Population!B120/1000000)</f>
        <v>57.673198062246293</v>
      </c>
      <c r="D120" s="4">
        <f t="shared" si="1"/>
        <v>4.0547925606111264</v>
      </c>
      <c r="H120" s="1"/>
      <c r="I120" s="12"/>
      <c r="J120" s="11"/>
    </row>
    <row r="121" spans="1:10" x14ac:dyDescent="0.2">
      <c r="A121" s="1">
        <v>40817</v>
      </c>
      <c r="B121" s="21">
        <v>11563.89</v>
      </c>
      <c r="C121" s="8">
        <f>B121/(Working_Age_Population!B121/1000000)</f>
        <v>57.715638900357284</v>
      </c>
      <c r="D121" s="4">
        <f t="shared" si="1"/>
        <v>4.0555281749242962</v>
      </c>
      <c r="H121" s="1"/>
      <c r="I121" s="12"/>
      <c r="J121" s="11"/>
    </row>
    <row r="122" spans="1:10" x14ac:dyDescent="0.2">
      <c r="A122" s="1">
        <v>40909</v>
      </c>
      <c r="B122" s="21">
        <v>11647.297</v>
      </c>
      <c r="C122" s="8">
        <f>B122/(Working_Age_Population!B122/1000000)</f>
        <v>57.916045078726839</v>
      </c>
      <c r="D122" s="4">
        <f t="shared" si="1"/>
        <v>4.0589944632655612</v>
      </c>
      <c r="H122" s="1"/>
      <c r="I122" s="12"/>
      <c r="J122" s="11"/>
    </row>
    <row r="123" spans="1:10" x14ac:dyDescent="0.2">
      <c r="A123" s="1">
        <v>41000</v>
      </c>
      <c r="B123" s="21">
        <v>11667.753000000001</v>
      </c>
      <c r="C123" s="8">
        <f>B123/(Working_Age_Population!B123/1000000)</f>
        <v>57.908064217551363</v>
      </c>
      <c r="D123" s="4">
        <f t="shared" si="1"/>
        <v>4.0588566532493804</v>
      </c>
      <c r="H123" s="1"/>
      <c r="I123" s="12"/>
      <c r="J123" s="11"/>
    </row>
    <row r="124" spans="1:10" x14ac:dyDescent="0.2">
      <c r="A124" s="1">
        <v>41091</v>
      </c>
      <c r="B124" s="21">
        <v>11691.414000000001</v>
      </c>
      <c r="C124" s="8">
        <f>B124/(Working_Age_Population!B124/1000000)</f>
        <v>58.00666765787031</v>
      </c>
      <c r="D124" s="4">
        <f t="shared" si="1"/>
        <v>4.060557963557522</v>
      </c>
      <c r="H124" s="1"/>
      <c r="I124" s="12"/>
      <c r="J124" s="11"/>
    </row>
    <row r="125" spans="1:10" x14ac:dyDescent="0.2">
      <c r="A125" s="1">
        <v>41183</v>
      </c>
      <c r="B125" s="21">
        <v>11738.007</v>
      </c>
      <c r="C125" s="8">
        <f>B125/(Working_Age_Population!B125/1000000)</f>
        <v>58.18254733102544</v>
      </c>
      <c r="D125" s="4">
        <f t="shared" si="1"/>
        <v>4.063585435728819</v>
      </c>
      <c r="H125" s="1"/>
      <c r="I125" s="12"/>
      <c r="J125" s="11"/>
    </row>
    <row r="126" spans="1:10" x14ac:dyDescent="0.2">
      <c r="A126" s="1">
        <v>41275</v>
      </c>
      <c r="B126" s="21">
        <v>11814.325999999999</v>
      </c>
      <c r="C126" s="8">
        <f>B126/(Working_Age_Population!B126/1000000)</f>
        <v>58.522310334049443</v>
      </c>
      <c r="D126" s="4">
        <f t="shared" si="1"/>
        <v>4.0694080547651383</v>
      </c>
      <c r="H126" s="1"/>
      <c r="I126" s="12"/>
      <c r="J126" s="11"/>
    </row>
    <row r="127" spans="1:10" x14ac:dyDescent="0.2">
      <c r="A127" s="1">
        <v>41365</v>
      </c>
      <c r="B127" s="21">
        <v>11848.089</v>
      </c>
      <c r="C127" s="8">
        <f>B127/(Working_Age_Population!B127/1000000)</f>
        <v>58.583480186909767</v>
      </c>
      <c r="D127" s="4">
        <f t="shared" si="1"/>
        <v>4.0704527487662041</v>
      </c>
      <c r="H127" s="1"/>
      <c r="I127" s="12"/>
      <c r="J127" s="11"/>
    </row>
    <row r="128" spans="1:10" x14ac:dyDescent="0.2">
      <c r="A128" s="1">
        <v>41456</v>
      </c>
      <c r="B128" s="21">
        <v>11896.258</v>
      </c>
      <c r="C128" s="8">
        <f>B128/(Working_Age_Population!B128/1000000)</f>
        <v>58.754874113892882</v>
      </c>
      <c r="D128" s="4">
        <f t="shared" si="1"/>
        <v>4.0733741132237054</v>
      </c>
      <c r="H128" s="1"/>
      <c r="I128" s="12"/>
      <c r="J128" s="11"/>
    </row>
    <row r="129" spans="1:10" x14ac:dyDescent="0.2">
      <c r="A129" s="1">
        <v>41548</v>
      </c>
      <c r="B129" s="21">
        <v>12001.027</v>
      </c>
      <c r="C129" s="8">
        <f>B129/(Working_Age_Population!B129/1000000)</f>
        <v>59.199411182010095</v>
      </c>
      <c r="D129" s="4">
        <f t="shared" si="1"/>
        <v>4.0809115955906661</v>
      </c>
      <c r="H129" s="1"/>
      <c r="I129" s="12"/>
      <c r="J129" s="11"/>
    </row>
    <row r="130" spans="1:10" x14ac:dyDescent="0.2">
      <c r="A130" s="1">
        <v>41640</v>
      </c>
      <c r="B130" s="21">
        <v>12044.203</v>
      </c>
      <c r="C130" s="8">
        <f>B130/(Working_Age_Population!B130/1000000)</f>
        <v>59.435896524854925</v>
      </c>
      <c r="D130" s="4">
        <f t="shared" si="1"/>
        <v>4.0848983624418977</v>
      </c>
      <c r="H130" s="1"/>
      <c r="I130" s="12"/>
      <c r="J130" s="11"/>
    </row>
    <row r="131" spans="1:10" x14ac:dyDescent="0.2">
      <c r="A131" s="1">
        <v>41730</v>
      </c>
      <c r="B131" s="21">
        <v>12159.898999999999</v>
      </c>
      <c r="C131" s="8">
        <f>B131/(Working_Age_Population!B131/1000000)</f>
        <v>59.924517051813261</v>
      </c>
      <c r="D131" s="4">
        <f t="shared" ref="D131:D176" si="2">LN(C131)</f>
        <v>4.0930857210775136</v>
      </c>
      <c r="H131" s="1"/>
      <c r="I131" s="12"/>
      <c r="J131" s="11"/>
    </row>
    <row r="132" spans="1:10" x14ac:dyDescent="0.2">
      <c r="A132" s="1">
        <v>41821</v>
      </c>
      <c r="B132" s="21">
        <v>12280.085999999999</v>
      </c>
      <c r="C132" s="8">
        <f>B132/(Working_Age_Population!B132/1000000)</f>
        <v>60.452435163334364</v>
      </c>
      <c r="D132" s="4">
        <f t="shared" si="2"/>
        <v>4.1018568601755527</v>
      </c>
      <c r="H132" s="1"/>
      <c r="I132" s="12"/>
      <c r="J132" s="11"/>
    </row>
    <row r="133" spans="1:10" x14ac:dyDescent="0.2">
      <c r="A133" s="1">
        <v>41913</v>
      </c>
      <c r="B133" s="21">
        <v>12421.594999999999</v>
      </c>
      <c r="C133" s="8">
        <f>B133/(Working_Age_Population!B133/1000000)</f>
        <v>61.082191221718077</v>
      </c>
      <c r="D133" s="4">
        <f t="shared" si="2"/>
        <v>4.1122203543257818</v>
      </c>
      <c r="H133" s="1"/>
      <c r="I133" s="12"/>
      <c r="J133" s="11"/>
    </row>
    <row r="134" spans="1:10" x14ac:dyDescent="0.2">
      <c r="A134" s="1">
        <v>42005</v>
      </c>
      <c r="B134" s="21">
        <v>12516.902</v>
      </c>
      <c r="C134" s="8">
        <f>B134/(Working_Age_Population!B134/1000000)</f>
        <v>61.380520953707077</v>
      </c>
      <c r="D134" s="4">
        <f t="shared" si="2"/>
        <v>4.1170925365082462</v>
      </c>
      <c r="H134" s="1"/>
      <c r="I134" s="12"/>
      <c r="J134" s="11"/>
    </row>
    <row r="135" spans="1:10" x14ac:dyDescent="0.2">
      <c r="A135" s="1">
        <v>42095</v>
      </c>
      <c r="B135" s="21">
        <v>12603.053</v>
      </c>
      <c r="C135" s="8">
        <f>B135/(Working_Age_Population!B135/1000000)</f>
        <v>61.720754570099508</v>
      </c>
      <c r="D135" s="4">
        <f t="shared" si="2"/>
        <v>4.1226202531185336</v>
      </c>
      <c r="H135" s="1"/>
      <c r="I135" s="12"/>
      <c r="J135" s="11"/>
    </row>
    <row r="136" spans="1:10" x14ac:dyDescent="0.2">
      <c r="A136" s="1">
        <v>42186</v>
      </c>
      <c r="B136" s="21">
        <v>12691.79</v>
      </c>
      <c r="C136" s="8">
        <f>B136/(Working_Age_Population!B136/1000000)</f>
        <v>62.045410668927914</v>
      </c>
      <c r="D136" s="4">
        <f t="shared" si="2"/>
        <v>4.1278665470930322</v>
      </c>
      <c r="H136" s="1"/>
      <c r="I136" s="12"/>
      <c r="J136" s="11"/>
    </row>
    <row r="137" spans="1:10" x14ac:dyDescent="0.2">
      <c r="A137" s="1">
        <v>42278</v>
      </c>
      <c r="B137" s="21">
        <v>12743.411</v>
      </c>
      <c r="C137" s="8">
        <f>B137/(Working_Age_Population!B137/1000000)</f>
        <v>62.245964986491749</v>
      </c>
      <c r="D137" s="4">
        <f t="shared" si="2"/>
        <v>4.1310937137498343</v>
      </c>
      <c r="H137" s="1"/>
      <c r="I137" s="12"/>
      <c r="J137" s="11"/>
    </row>
    <row r="138" spans="1:10" x14ac:dyDescent="0.2">
      <c r="A138" s="1">
        <v>42370</v>
      </c>
      <c r="B138" s="21">
        <v>12839.618</v>
      </c>
      <c r="C138" s="8">
        <f>B138/(Working_Age_Population!B138/1000000)</f>
        <v>62.59481763841837</v>
      </c>
      <c r="D138" s="4">
        <f t="shared" si="2"/>
        <v>4.1366824893503784</v>
      </c>
      <c r="H138" s="1"/>
      <c r="I138" s="12"/>
      <c r="J138" s="11"/>
    </row>
    <row r="139" spans="1:10" x14ac:dyDescent="0.2">
      <c r="A139" s="1">
        <v>42461</v>
      </c>
      <c r="B139" s="21">
        <v>12903.306</v>
      </c>
      <c r="C139" s="8">
        <f>B139/(Working_Age_Population!B139/1000000)</f>
        <v>62.821389048606918</v>
      </c>
      <c r="D139" s="4">
        <f t="shared" si="2"/>
        <v>4.1402956054325335</v>
      </c>
      <c r="H139" s="1"/>
      <c r="I139" s="12"/>
      <c r="J139" s="11"/>
    </row>
    <row r="140" spans="1:10" x14ac:dyDescent="0.2">
      <c r="A140" s="1">
        <v>42552</v>
      </c>
      <c r="B140" s="21">
        <v>12993.064</v>
      </c>
      <c r="C140" s="8">
        <f>B140/(Working_Age_Population!B140/1000000)</f>
        <v>63.164049636557664</v>
      </c>
      <c r="D140" s="4">
        <f t="shared" si="2"/>
        <v>4.1457353044402865</v>
      </c>
      <c r="H140" s="1"/>
      <c r="I140" s="12"/>
      <c r="J140" s="11"/>
    </row>
    <row r="141" spans="1:10" x14ac:dyDescent="0.2">
      <c r="A141" s="1">
        <v>42644</v>
      </c>
      <c r="B141" s="21">
        <v>13060.061</v>
      </c>
      <c r="C141" s="8">
        <f>B141/(Working_Age_Population!B141/1000000)</f>
        <v>63.434700912877908</v>
      </c>
      <c r="D141" s="4">
        <f t="shared" si="2"/>
        <v>4.1500110447217935</v>
      </c>
      <c r="H141" s="1"/>
      <c r="I141" s="12"/>
      <c r="J141" s="11"/>
    </row>
    <row r="142" spans="1:10" x14ac:dyDescent="0.2">
      <c r="A142" s="1">
        <v>42736</v>
      </c>
      <c r="B142" s="21">
        <v>13160.475</v>
      </c>
      <c r="C142" s="8">
        <f>B142/(Working_Age_Population!B142/1000000)</f>
        <v>64.08260081554242</v>
      </c>
      <c r="D142" s="4">
        <f t="shared" si="2"/>
        <v>4.1601728889455627</v>
      </c>
      <c r="H142" s="1"/>
      <c r="I142" s="12"/>
      <c r="J142" s="11"/>
    </row>
    <row r="143" spans="1:10" x14ac:dyDescent="0.2">
      <c r="A143" s="1">
        <v>42826</v>
      </c>
      <c r="B143" s="21">
        <v>13225.743</v>
      </c>
      <c r="C143" s="8">
        <f>B143/(Working_Age_Population!B143/1000000)</f>
        <v>64.365727114002496</v>
      </c>
      <c r="D143" s="4">
        <f t="shared" si="2"/>
        <v>4.1645813037774184</v>
      </c>
      <c r="H143" s="1"/>
      <c r="I143" s="12"/>
      <c r="J143" s="11"/>
    </row>
    <row r="144" spans="1:10" x14ac:dyDescent="0.2">
      <c r="A144" s="1">
        <v>42917</v>
      </c>
      <c r="B144" s="21">
        <v>13315.382</v>
      </c>
      <c r="C144" s="8">
        <f>B144/(Working_Age_Population!B144/1000000)</f>
        <v>64.723718800848303</v>
      </c>
      <c r="D144" s="4">
        <f t="shared" si="2"/>
        <v>4.1701277309395373</v>
      </c>
      <c r="H144" s="1"/>
      <c r="I144" s="12"/>
      <c r="J144" s="11"/>
    </row>
    <row r="145" spans="1:10" x14ac:dyDescent="0.2">
      <c r="A145" s="1">
        <v>43009</v>
      </c>
      <c r="B145" s="21">
        <v>13460.902</v>
      </c>
      <c r="C145" s="8">
        <f>B145/(Working_Age_Population!B145/1000000)</f>
        <v>65.409806060140937</v>
      </c>
      <c r="D145" s="4">
        <f t="shared" si="2"/>
        <v>4.1806721869808179</v>
      </c>
      <c r="H145" s="1"/>
      <c r="I145" s="12"/>
      <c r="J145" s="11"/>
    </row>
    <row r="146" spans="1:10" x14ac:dyDescent="0.2">
      <c r="A146" s="1">
        <v>43101</v>
      </c>
      <c r="B146" s="21">
        <v>13558.373</v>
      </c>
      <c r="C146" s="8">
        <f>B146/(Working_Age_Population!B146/1000000)</f>
        <v>65.727718853272407</v>
      </c>
      <c r="D146" s="4">
        <f t="shared" si="2"/>
        <v>4.1855207368698579</v>
      </c>
      <c r="H146" s="1"/>
      <c r="I146" s="12"/>
      <c r="J146" s="11"/>
    </row>
    <row r="147" spans="1:10" x14ac:dyDescent="0.2">
      <c r="A147" s="1">
        <v>43191</v>
      </c>
      <c r="B147" s="21">
        <v>13630.967000000001</v>
      </c>
      <c r="C147" s="8">
        <f>B147/(Working_Age_Population!B147/1000000)</f>
        <v>66.043405210867817</v>
      </c>
      <c r="D147" s="4">
        <f t="shared" si="2"/>
        <v>4.1903121805764521</v>
      </c>
      <c r="H147" s="1"/>
      <c r="I147" s="12"/>
      <c r="J147" s="11"/>
    </row>
    <row r="148" spans="1:10" x14ac:dyDescent="0.2">
      <c r="A148" s="1">
        <v>43282</v>
      </c>
      <c r="B148" s="21">
        <v>13693.79</v>
      </c>
      <c r="C148" s="8">
        <f>B148/(Working_Age_Population!B148/1000000)</f>
        <v>66.256726359583212</v>
      </c>
      <c r="D148" s="4">
        <f t="shared" si="2"/>
        <v>4.1935369896684875</v>
      </c>
      <c r="H148" s="1"/>
      <c r="I148" s="12"/>
      <c r="J148" s="11"/>
    </row>
    <row r="149" spans="1:10" x14ac:dyDescent="0.2">
      <c r="A149" s="1">
        <v>43374</v>
      </c>
      <c r="B149" s="21">
        <v>13736.572</v>
      </c>
      <c r="C149" s="8">
        <f>B149/(Working_Age_Population!B149/1000000)</f>
        <v>66.455664848274921</v>
      </c>
      <c r="D149" s="4">
        <f t="shared" si="2"/>
        <v>4.1965350313116261</v>
      </c>
      <c r="H149" s="1"/>
      <c r="I149" s="12"/>
      <c r="J149" s="11"/>
    </row>
    <row r="150" spans="1:10" x14ac:dyDescent="0.2">
      <c r="A150" s="1">
        <v>43466</v>
      </c>
      <c r="B150" s="21">
        <v>13758.331</v>
      </c>
      <c r="C150" s="8">
        <f>B150/(Working_Age_Population!B150/1000000)</f>
        <v>66.712493429767846</v>
      </c>
      <c r="D150" s="4">
        <f t="shared" si="2"/>
        <v>4.2003922431742851</v>
      </c>
      <c r="H150" s="1"/>
      <c r="I150" s="12"/>
      <c r="J150" s="11"/>
    </row>
    <row r="151" spans="1:10" x14ac:dyDescent="0.2">
      <c r="A151" s="1">
        <v>43556</v>
      </c>
      <c r="B151" s="21">
        <v>13875.705</v>
      </c>
      <c r="C151" s="8">
        <f>B151/(Working_Age_Population!B151/1000000)</f>
        <v>67.237601438395799</v>
      </c>
      <c r="D151" s="4">
        <f t="shared" si="2"/>
        <v>4.208232636256275</v>
      </c>
      <c r="H151" s="1"/>
      <c r="I151" s="12"/>
      <c r="J151" s="11"/>
    </row>
    <row r="152" spans="1:10" x14ac:dyDescent="0.2">
      <c r="A152" s="1">
        <v>43647</v>
      </c>
      <c r="B152" s="21">
        <v>14033.222</v>
      </c>
      <c r="C152" s="8">
        <f>B152/(Working_Age_Population!B152/1000000)</f>
        <v>68.002079814076637</v>
      </c>
      <c r="D152" s="4">
        <f t="shared" si="2"/>
        <v>4.2195382902095071</v>
      </c>
      <c r="H152" s="1"/>
      <c r="I152" s="12"/>
      <c r="J152" s="11"/>
    </row>
    <row r="153" spans="1:10" x14ac:dyDescent="0.2">
      <c r="A153" s="1">
        <v>43739</v>
      </c>
      <c r="B153" s="21">
        <v>14125.273999999999</v>
      </c>
      <c r="C153" s="8">
        <f>B153/(Working_Age_Population!B153/1000000)</f>
        <v>68.483598001911844</v>
      </c>
      <c r="D153" s="4">
        <f t="shared" si="2"/>
        <v>4.2265942713690299</v>
      </c>
      <c r="H153" s="1"/>
      <c r="I153" s="12"/>
      <c r="J153" s="11"/>
    </row>
    <row r="154" spans="1:10" x14ac:dyDescent="0.2">
      <c r="A154" s="1">
        <v>43831</v>
      </c>
      <c r="B154" s="21">
        <v>13887.048000000001</v>
      </c>
      <c r="C154" s="8">
        <f>B154/(Working_Age_Population!B154/1000000)</f>
        <v>67.56301250828011</v>
      </c>
      <c r="D154" s="4">
        <f t="shared" si="2"/>
        <v>4.2130606810621281</v>
      </c>
      <c r="H154" s="1"/>
      <c r="I154" s="12"/>
      <c r="J154" s="11"/>
    </row>
    <row r="155" spans="1:10" x14ac:dyDescent="0.2">
      <c r="A155" s="1">
        <v>43922</v>
      </c>
      <c r="B155" s="21">
        <v>12685.319</v>
      </c>
      <c r="C155" s="8">
        <f>B155/(Working_Age_Population!B155/1000000)</f>
        <v>61.456117368552725</v>
      </c>
      <c r="D155" s="4">
        <f t="shared" si="2"/>
        <v>4.1183233813998363</v>
      </c>
      <c r="H155" s="1"/>
      <c r="I155" s="12"/>
      <c r="J155" s="11"/>
    </row>
    <row r="156" spans="1:10" x14ac:dyDescent="0.2">
      <c r="A156" s="1">
        <v>44013</v>
      </c>
      <c r="B156" s="21">
        <v>13813.706</v>
      </c>
      <c r="C156" s="8">
        <f>B156/(Working_Age_Population!B156/1000000)</f>
        <v>67.150553398399524</v>
      </c>
      <c r="D156" s="4">
        <f t="shared" si="2"/>
        <v>4.2069371641623841</v>
      </c>
      <c r="H156" s="1"/>
      <c r="I156" s="12"/>
      <c r="J156" s="11"/>
    </row>
    <row r="157" spans="1:10" x14ac:dyDescent="0.2">
      <c r="A157" s="1">
        <v>44105</v>
      </c>
      <c r="B157" s="21">
        <v>14001.366</v>
      </c>
      <c r="C157" s="8">
        <f>B157/(Working_Age_Population!B157/1000000)</f>
        <v>67.921493111446026</v>
      </c>
      <c r="D157" s="4">
        <f t="shared" si="2"/>
        <v>4.2183525251455309</v>
      </c>
      <c r="H157" s="1"/>
      <c r="I157" s="12"/>
      <c r="J157" s="11"/>
    </row>
    <row r="158" spans="1:10" x14ac:dyDescent="0.2">
      <c r="A158" s="1">
        <v>44197</v>
      </c>
      <c r="B158" s="21">
        <v>14319.617</v>
      </c>
      <c r="C158" s="8">
        <f>B158/(Working_Age_Population!B158/1000000)</f>
        <v>69.814203979265471</v>
      </c>
      <c r="D158" s="4">
        <f t="shared" si="2"/>
        <v>4.2458374844708953</v>
      </c>
      <c r="H158" s="1"/>
      <c r="I158" s="12"/>
      <c r="J158" s="11"/>
    </row>
    <row r="159" spans="1:10" x14ac:dyDescent="0.2">
      <c r="A159" s="1">
        <v>44287</v>
      </c>
      <c r="B159" s="21">
        <v>14820.013999999999</v>
      </c>
      <c r="C159" s="8">
        <f>B159/(Working_Age_Population!B159/1000000)</f>
        <v>72.120529856866241</v>
      </c>
      <c r="D159" s="4">
        <f t="shared" si="2"/>
        <v>4.2783387451864732</v>
      </c>
      <c r="H159" s="1"/>
      <c r="I159" s="12"/>
      <c r="J159" s="11"/>
    </row>
    <row r="160" spans="1:10" x14ac:dyDescent="0.2">
      <c r="A160" s="1">
        <v>44378</v>
      </c>
      <c r="B160" s="21">
        <v>14943.244000000001</v>
      </c>
      <c r="C160" s="8">
        <f>B160/(Working_Age_Population!B160/1000000)</f>
        <v>72.764009999772753</v>
      </c>
      <c r="D160" s="4">
        <f t="shared" si="2"/>
        <v>4.2872214648274349</v>
      </c>
      <c r="H160" s="1"/>
      <c r="I160" s="12"/>
      <c r="J160" s="11"/>
    </row>
    <row r="161" spans="1:10" x14ac:dyDescent="0.2">
      <c r="A161" s="1">
        <v>44470</v>
      </c>
      <c r="B161" s="21">
        <v>15086.861999999999</v>
      </c>
      <c r="C161" s="8">
        <f>B161/(Working_Age_Population!B161/1000000)</f>
        <v>73.453883129990743</v>
      </c>
      <c r="D161" s="4">
        <f t="shared" si="2"/>
        <v>4.2966577688873926</v>
      </c>
      <c r="H161" s="1"/>
      <c r="I161" s="12"/>
      <c r="J161" s="11"/>
    </row>
    <row r="162" spans="1:10" x14ac:dyDescent="0.2">
      <c r="A162" s="1">
        <v>44562</v>
      </c>
      <c r="B162" s="21">
        <v>15100.85</v>
      </c>
      <c r="C162" s="8">
        <f>B162/(Working_Age_Population!B162/1000000)</f>
        <v>72.978394778327313</v>
      </c>
      <c r="D162" s="4">
        <f t="shared" si="2"/>
        <v>4.2901634354022908</v>
      </c>
      <c r="H162" s="1"/>
      <c r="I162" s="12"/>
      <c r="J162" s="11"/>
    </row>
    <row r="163" spans="1:10" x14ac:dyDescent="0.2">
      <c r="A163" s="1">
        <v>44652</v>
      </c>
      <c r="B163" s="21">
        <v>15224.357</v>
      </c>
      <c r="C163" s="8">
        <f>B163/(Working_Age_Population!B163/1000000)</f>
        <v>73.502392370970469</v>
      </c>
      <c r="D163" s="4">
        <f t="shared" si="2"/>
        <v>4.2973179549539795</v>
      </c>
      <c r="H163" s="1"/>
      <c r="I163" s="12"/>
      <c r="J163" s="11"/>
    </row>
    <row r="164" spans="1:10" x14ac:dyDescent="0.2">
      <c r="A164" s="1">
        <v>44743</v>
      </c>
      <c r="B164" s="21">
        <v>15295.828</v>
      </c>
      <c r="C164" s="8">
        <f>B164/(Working_Age_Population!B164/1000000)</f>
        <v>73.721974996132161</v>
      </c>
      <c r="D164" s="4">
        <f t="shared" si="2"/>
        <v>4.3003009229491678</v>
      </c>
      <c r="H164" s="1"/>
      <c r="I164" s="12"/>
      <c r="J164" s="11"/>
    </row>
    <row r="165" spans="1:10" x14ac:dyDescent="0.2">
      <c r="A165" s="1">
        <v>44835</v>
      </c>
      <c r="B165" s="21">
        <v>15326.248</v>
      </c>
      <c r="C165" s="8">
        <f>B165/(Working_Age_Population!B165/1000000)</f>
        <v>73.816695400816982</v>
      </c>
      <c r="D165" s="4">
        <f t="shared" si="2"/>
        <v>4.3015849309647427</v>
      </c>
      <c r="H165" s="1"/>
      <c r="I165" s="12"/>
      <c r="J165" s="11"/>
    </row>
    <row r="166" spans="1:10" x14ac:dyDescent="0.2">
      <c r="A166" s="1">
        <v>44927</v>
      </c>
      <c r="B166" s="21">
        <v>15495.754000000001</v>
      </c>
      <c r="C166" s="8">
        <f>B166/(Working_Age_Population!B166/1000000)</f>
        <v>74.424047260173964</v>
      </c>
      <c r="D166" s="4">
        <f t="shared" si="2"/>
        <v>4.3097791054786052</v>
      </c>
      <c r="H166" s="1"/>
      <c r="I166" s="12"/>
      <c r="J166" s="11"/>
    </row>
    <row r="167" spans="1:10" x14ac:dyDescent="0.2">
      <c r="A167" s="1">
        <v>45017</v>
      </c>
      <c r="B167" s="21">
        <v>15553.718999999999</v>
      </c>
      <c r="C167" s="8">
        <f>B167/(Working_Age_Population!B167/1000000)</f>
        <v>74.614419638616752</v>
      </c>
      <c r="D167" s="4">
        <f t="shared" si="2"/>
        <v>4.3123337812739315</v>
      </c>
      <c r="H167" s="1"/>
      <c r="I167" s="12"/>
      <c r="J167" s="11"/>
    </row>
    <row r="168" spans="1:10" x14ac:dyDescent="0.2">
      <c r="A168" s="1">
        <v>45108</v>
      </c>
      <c r="B168" s="21">
        <v>15671.906000000001</v>
      </c>
      <c r="C168" s="8">
        <f>B168/(Working_Age_Population!B168/1000000)</f>
        <v>75.025939924312965</v>
      </c>
      <c r="D168" s="4">
        <f t="shared" si="2"/>
        <v>4.3178339193960777</v>
      </c>
      <c r="H168" s="1"/>
      <c r="I168" s="12"/>
      <c r="J168" s="11"/>
    </row>
    <row r="169" spans="1:10" x14ac:dyDescent="0.2">
      <c r="A169" s="1">
        <v>45200</v>
      </c>
      <c r="B169" s="21">
        <v>15789.717000000001</v>
      </c>
      <c r="C169" s="8">
        <f>B169/(Working_Age_Population!B169/1000000)</f>
        <v>75.494979223758378</v>
      </c>
      <c r="D169" s="4">
        <f t="shared" si="2"/>
        <v>4.3240661536961618</v>
      </c>
      <c r="H169" s="1"/>
      <c r="I169" s="12"/>
      <c r="J169" s="11"/>
    </row>
    <row r="170" spans="1:10" x14ac:dyDescent="0.2">
      <c r="A170" s="1">
        <v>45292</v>
      </c>
      <c r="B170" s="21">
        <v>15857.704</v>
      </c>
      <c r="C170" s="8">
        <f>B170/(Working_Age_Population!B170/1000000)</f>
        <v>76.07420711607233</v>
      </c>
      <c r="D170" s="4">
        <f t="shared" si="2"/>
        <v>4.3317092733307234</v>
      </c>
      <c r="H170" s="1"/>
      <c r="I170" s="12"/>
      <c r="J170" s="11"/>
    </row>
    <row r="171" spans="1:10" x14ac:dyDescent="0.2">
      <c r="A171" s="1">
        <v>45383</v>
      </c>
      <c r="B171" s="21">
        <v>16009.637000000001</v>
      </c>
      <c r="C171" s="8">
        <f>B171/(Working_Age_Population!B171/1000000)</f>
        <v>76.716367461177938</v>
      </c>
      <c r="D171" s="4">
        <f t="shared" si="2"/>
        <v>4.3401150814508149</v>
      </c>
      <c r="H171" s="1"/>
      <c r="I171" s="12"/>
      <c r="J171" s="11"/>
    </row>
    <row r="172" spans="1:10" x14ac:dyDescent="0.2">
      <c r="A172" s="1">
        <v>45474</v>
      </c>
      <c r="B172" s="21">
        <v>16165.768</v>
      </c>
      <c r="C172" s="8">
        <f>B172/(Working_Age_Population!B172/1000000)</f>
        <v>77.313646341846777</v>
      </c>
      <c r="D172" s="4">
        <f t="shared" si="2"/>
        <v>4.3478704774231769</v>
      </c>
      <c r="H172" s="1"/>
      <c r="I172" s="12"/>
      <c r="J172" s="11"/>
    </row>
    <row r="173" spans="1:10" x14ac:dyDescent="0.2">
      <c r="A173" s="1">
        <v>45566</v>
      </c>
      <c r="B173" s="21">
        <v>16320.89</v>
      </c>
      <c r="C173" s="8">
        <f>B173/(Working_Age_Population!B173/1000000)</f>
        <v>77.895841823592662</v>
      </c>
      <c r="D173" s="4">
        <f t="shared" si="2"/>
        <v>4.3553725730642547</v>
      </c>
      <c r="H173" s="1"/>
      <c r="I173" s="12"/>
      <c r="J173" s="11"/>
    </row>
    <row r="174" spans="1:10" x14ac:dyDescent="0.2">
      <c r="A174" s="1">
        <v>45658</v>
      </c>
      <c r="B174" s="21">
        <v>16345.793</v>
      </c>
      <c r="C174" s="8">
        <f>B174/(Working_Age_Population!B174/1000000)</f>
        <v>77.310404780384303</v>
      </c>
      <c r="D174" s="4">
        <f t="shared" si="2"/>
        <v>4.3478285491275539</v>
      </c>
      <c r="H174" s="1"/>
      <c r="I174" s="12"/>
      <c r="J174" s="11"/>
    </row>
    <row r="175" spans="1:10" x14ac:dyDescent="0.2">
      <c r="A175" s="1">
        <v>45748</v>
      </c>
      <c r="B175" s="21">
        <v>16445.685000000001</v>
      </c>
      <c r="C175" s="8">
        <f>B175/(Working_Age_Population!B175/1000000)</f>
        <v>77.661684940446904</v>
      </c>
      <c r="D175" s="4">
        <f t="shared" si="2"/>
        <v>4.3523620204427003</v>
      </c>
      <c r="H175" s="1"/>
      <c r="I175" s="12"/>
      <c r="J175" s="11"/>
    </row>
    <row r="176" spans="1:10" x14ac:dyDescent="0.2">
      <c r="A176" s="1">
        <v>45839</v>
      </c>
      <c r="B176" s="21">
        <v>16585.878000000001</v>
      </c>
      <c r="C176" s="8">
        <f>B176/(Working_Age_Population!B176/1000000)</f>
        <v>78.160934793560244</v>
      </c>
      <c r="D176" s="4">
        <f t="shared" si="2"/>
        <v>4.3587699676624982</v>
      </c>
      <c r="H176" s="1"/>
      <c r="I176" s="12"/>
      <c r="J176" s="11"/>
    </row>
    <row r="177" spans="1:10" x14ac:dyDescent="0.2">
      <c r="A177" s="1"/>
      <c r="B177" s="21"/>
      <c r="C177" s="8"/>
      <c r="D177" s="4"/>
      <c r="H177" s="1"/>
      <c r="I177" s="12"/>
      <c r="J177" s="11"/>
    </row>
    <row r="178" spans="1:10" x14ac:dyDescent="0.2">
      <c r="H178" s="1"/>
      <c r="I178" s="12"/>
      <c r="J17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F272-AEE7-DC47-9942-0EC93140CA07}">
  <dimension ref="A1:C531"/>
  <sheetViews>
    <sheetView showGridLines="0" workbookViewId="0">
      <selection activeCell="B1" sqref="B1"/>
    </sheetView>
  </sheetViews>
  <sheetFormatPr baseColWidth="10" defaultColWidth="11" defaultRowHeight="16" x14ac:dyDescent="0.2"/>
  <cols>
    <col min="2" max="2" width="9" bestFit="1" customWidth="1"/>
  </cols>
  <sheetData>
    <row r="1" spans="1:3" x14ac:dyDescent="0.2">
      <c r="A1" s="7" t="s">
        <v>8</v>
      </c>
      <c r="B1" s="7" t="s">
        <v>4</v>
      </c>
      <c r="C1" t="s">
        <v>41</v>
      </c>
    </row>
    <row r="2" spans="1:3" x14ac:dyDescent="0.2">
      <c r="A2" s="1">
        <v>29587</v>
      </c>
      <c r="B2" s="21">
        <v>87.933000000000007</v>
      </c>
    </row>
    <row r="3" spans="1:3" x14ac:dyDescent="0.2">
      <c r="A3" s="1">
        <v>29677</v>
      </c>
      <c r="B3" s="21">
        <v>89.766999999999996</v>
      </c>
    </row>
    <row r="4" spans="1:3" x14ac:dyDescent="0.2">
      <c r="A4" s="1">
        <v>29768</v>
      </c>
      <c r="B4" s="21">
        <v>92.266999999999996</v>
      </c>
    </row>
    <row r="5" spans="1:3" x14ac:dyDescent="0.2">
      <c r="A5" s="1">
        <v>29860</v>
      </c>
      <c r="B5" s="21">
        <v>93.766999999999996</v>
      </c>
    </row>
    <row r="6" spans="1:3" x14ac:dyDescent="0.2">
      <c r="A6" s="1">
        <v>29952</v>
      </c>
      <c r="B6" s="21">
        <v>94.6</v>
      </c>
      <c r="C6">
        <f>(B6-B5)/B5</f>
        <v>8.8837224183347923E-3</v>
      </c>
    </row>
    <row r="7" spans="1:3" x14ac:dyDescent="0.2">
      <c r="A7" s="1">
        <v>30042</v>
      </c>
      <c r="B7" s="21">
        <v>95.966999999999999</v>
      </c>
      <c r="C7">
        <f t="shared" ref="C7:C70" si="0">(B7-B6)/B6</f>
        <v>1.4450317124735778E-2</v>
      </c>
    </row>
    <row r="8" spans="1:3" x14ac:dyDescent="0.2">
      <c r="A8" s="1">
        <v>30133</v>
      </c>
      <c r="B8" s="21">
        <v>97.632999999999996</v>
      </c>
      <c r="C8">
        <f t="shared" si="0"/>
        <v>1.7360134212802285E-2</v>
      </c>
    </row>
    <row r="9" spans="1:3" x14ac:dyDescent="0.2">
      <c r="A9" s="1">
        <v>30225</v>
      </c>
      <c r="B9" s="21">
        <v>97.933000000000007</v>
      </c>
      <c r="C9">
        <f t="shared" si="0"/>
        <v>3.0727315559289522E-3</v>
      </c>
    </row>
    <row r="10" spans="1:3" x14ac:dyDescent="0.2">
      <c r="A10" s="1">
        <v>30317</v>
      </c>
      <c r="B10" s="21">
        <v>98</v>
      </c>
      <c r="C10">
        <f t="shared" si="0"/>
        <v>6.841411985744648E-4</v>
      </c>
    </row>
    <row r="11" spans="1:3" x14ac:dyDescent="0.2">
      <c r="A11" s="1">
        <v>30407</v>
      </c>
      <c r="B11" s="21">
        <v>99.132999999999996</v>
      </c>
      <c r="C11">
        <f t="shared" si="0"/>
        <v>1.1561224489795872E-2</v>
      </c>
    </row>
    <row r="12" spans="1:3" x14ac:dyDescent="0.2">
      <c r="A12" s="1">
        <v>30498</v>
      </c>
      <c r="B12" s="21">
        <v>100.1</v>
      </c>
      <c r="C12">
        <f t="shared" si="0"/>
        <v>9.7545721404577561E-3</v>
      </c>
    </row>
    <row r="13" spans="1:3" x14ac:dyDescent="0.2">
      <c r="A13" s="1">
        <v>30590</v>
      </c>
      <c r="B13" s="21">
        <v>101.1</v>
      </c>
      <c r="C13">
        <f t="shared" si="0"/>
        <v>9.99000999000999E-3</v>
      </c>
    </row>
    <row r="14" spans="1:3" x14ac:dyDescent="0.2">
      <c r="A14" s="1">
        <v>30682</v>
      </c>
      <c r="B14" s="21">
        <v>102.533</v>
      </c>
      <c r="C14">
        <f t="shared" si="0"/>
        <v>1.4174085064292848E-2</v>
      </c>
    </row>
    <row r="15" spans="1:3" x14ac:dyDescent="0.2">
      <c r="A15" s="1">
        <v>30773</v>
      </c>
      <c r="B15" s="21">
        <v>103.5</v>
      </c>
      <c r="C15">
        <f t="shared" si="0"/>
        <v>9.4311099841026674E-3</v>
      </c>
    </row>
    <row r="16" spans="1:3" x14ac:dyDescent="0.2">
      <c r="A16" s="1">
        <v>30864</v>
      </c>
      <c r="B16" s="21">
        <v>104.4</v>
      </c>
      <c r="C16">
        <f t="shared" si="0"/>
        <v>8.6956521739130991E-3</v>
      </c>
    </row>
    <row r="17" spans="1:3" x14ac:dyDescent="0.2">
      <c r="A17" s="1">
        <v>30956</v>
      </c>
      <c r="B17" s="21">
        <v>105.3</v>
      </c>
      <c r="C17">
        <f t="shared" si="0"/>
        <v>8.6206896551723321E-3</v>
      </c>
    </row>
    <row r="18" spans="1:3" x14ac:dyDescent="0.2">
      <c r="A18" s="1">
        <v>31048</v>
      </c>
      <c r="B18" s="21">
        <v>106.267</v>
      </c>
      <c r="C18">
        <f t="shared" si="0"/>
        <v>9.1832858499525053E-3</v>
      </c>
    </row>
    <row r="19" spans="1:3" x14ac:dyDescent="0.2">
      <c r="A19" s="1">
        <v>31138</v>
      </c>
      <c r="B19" s="21">
        <v>107.233</v>
      </c>
      <c r="C19">
        <f t="shared" si="0"/>
        <v>9.0903102562414316E-3</v>
      </c>
    </row>
    <row r="20" spans="1:3" x14ac:dyDescent="0.2">
      <c r="A20" s="1">
        <v>31229</v>
      </c>
      <c r="B20" s="21">
        <v>107.9</v>
      </c>
      <c r="C20">
        <f t="shared" si="0"/>
        <v>6.2201001557356554E-3</v>
      </c>
    </row>
    <row r="21" spans="1:3" x14ac:dyDescent="0.2">
      <c r="A21" s="1">
        <v>31321</v>
      </c>
      <c r="B21" s="21">
        <v>109</v>
      </c>
      <c r="C21">
        <f t="shared" si="0"/>
        <v>1.0194624652455924E-2</v>
      </c>
    </row>
    <row r="22" spans="1:3" x14ac:dyDescent="0.2">
      <c r="A22" s="1">
        <v>31413</v>
      </c>
      <c r="B22" s="21">
        <v>109.56699999999999</v>
      </c>
      <c r="C22">
        <f t="shared" si="0"/>
        <v>5.2018348623852576E-3</v>
      </c>
    </row>
    <row r="23" spans="1:3" x14ac:dyDescent="0.2">
      <c r="A23" s="1">
        <v>31503</v>
      </c>
      <c r="B23" s="21">
        <v>109.033</v>
      </c>
      <c r="C23">
        <f t="shared" si="0"/>
        <v>-4.873730228992232E-3</v>
      </c>
    </row>
    <row r="24" spans="1:3" x14ac:dyDescent="0.2">
      <c r="A24" s="1">
        <v>31594</v>
      </c>
      <c r="B24" s="21">
        <v>109.7</v>
      </c>
      <c r="C24">
        <f t="shared" si="0"/>
        <v>6.1174139939284581E-3</v>
      </c>
    </row>
    <row r="25" spans="1:3" x14ac:dyDescent="0.2">
      <c r="A25" s="1">
        <v>31686</v>
      </c>
      <c r="B25" s="21">
        <v>110.467</v>
      </c>
      <c r="C25">
        <f t="shared" si="0"/>
        <v>6.9917958067456324E-3</v>
      </c>
    </row>
    <row r="26" spans="1:3" x14ac:dyDescent="0.2">
      <c r="A26" s="1">
        <v>31778</v>
      </c>
      <c r="B26" s="21">
        <v>111.8</v>
      </c>
      <c r="C26">
        <f t="shared" si="0"/>
        <v>1.2066952121448021E-2</v>
      </c>
    </row>
    <row r="27" spans="1:3" x14ac:dyDescent="0.2">
      <c r="A27" s="1">
        <v>31868</v>
      </c>
      <c r="B27" s="21">
        <v>113.06699999999999</v>
      </c>
      <c r="C27">
        <f t="shared" si="0"/>
        <v>1.1332737030411412E-2</v>
      </c>
    </row>
    <row r="28" spans="1:3" x14ac:dyDescent="0.2">
      <c r="A28" s="1">
        <v>31959</v>
      </c>
      <c r="B28" s="21">
        <v>114.267</v>
      </c>
      <c r="C28">
        <f t="shared" si="0"/>
        <v>1.0613176258324735E-2</v>
      </c>
    </row>
    <row r="29" spans="1:3" x14ac:dyDescent="0.2">
      <c r="A29" s="1">
        <v>32051</v>
      </c>
      <c r="B29" s="21">
        <v>115.333</v>
      </c>
      <c r="C29">
        <f t="shared" si="0"/>
        <v>9.3290276282741516E-3</v>
      </c>
    </row>
    <row r="30" spans="1:3" x14ac:dyDescent="0.2">
      <c r="A30" s="1">
        <v>32143</v>
      </c>
      <c r="B30" s="21">
        <v>116.233</v>
      </c>
      <c r="C30">
        <f t="shared" si="0"/>
        <v>7.8034907615340422E-3</v>
      </c>
    </row>
    <row r="31" spans="1:3" x14ac:dyDescent="0.2">
      <c r="A31" s="1">
        <v>32234</v>
      </c>
      <c r="B31" s="21">
        <v>117.56699999999999</v>
      </c>
      <c r="C31">
        <f t="shared" si="0"/>
        <v>1.147694716646726E-2</v>
      </c>
    </row>
    <row r="32" spans="1:3" x14ac:dyDescent="0.2">
      <c r="A32" s="1">
        <v>32325</v>
      </c>
      <c r="B32" s="21">
        <v>119</v>
      </c>
      <c r="C32">
        <f t="shared" si="0"/>
        <v>1.2188794474640052E-2</v>
      </c>
    </row>
    <row r="33" spans="1:3" x14ac:dyDescent="0.2">
      <c r="A33" s="1">
        <v>32417</v>
      </c>
      <c r="B33" s="21">
        <v>120.3</v>
      </c>
      <c r="C33">
        <f t="shared" si="0"/>
        <v>1.0924369747899136E-2</v>
      </c>
    </row>
    <row r="34" spans="1:3" x14ac:dyDescent="0.2">
      <c r="A34" s="1">
        <v>32509</v>
      </c>
      <c r="B34" s="21">
        <v>121.667</v>
      </c>
      <c r="C34">
        <f t="shared" si="0"/>
        <v>1.136325852036579E-2</v>
      </c>
    </row>
    <row r="35" spans="1:3" x14ac:dyDescent="0.2">
      <c r="A35" s="1">
        <v>32599</v>
      </c>
      <c r="B35" s="21">
        <v>123.633</v>
      </c>
      <c r="C35">
        <f t="shared" si="0"/>
        <v>1.6158859838740117E-2</v>
      </c>
    </row>
    <row r="36" spans="1:3" x14ac:dyDescent="0.2">
      <c r="A36" s="1">
        <v>32690</v>
      </c>
      <c r="B36" s="21">
        <v>124.6</v>
      </c>
      <c r="C36">
        <f t="shared" si="0"/>
        <v>7.8215363212087285E-3</v>
      </c>
    </row>
    <row r="37" spans="1:3" x14ac:dyDescent="0.2">
      <c r="A37" s="1">
        <v>32782</v>
      </c>
      <c r="B37" s="21">
        <v>125.867</v>
      </c>
      <c r="C37">
        <f t="shared" si="0"/>
        <v>1.0168539325842779E-2</v>
      </c>
    </row>
    <row r="38" spans="1:3" x14ac:dyDescent="0.2">
      <c r="A38" s="1">
        <v>32874</v>
      </c>
      <c r="B38" s="21">
        <v>128.03299999999999</v>
      </c>
      <c r="C38">
        <f t="shared" si="0"/>
        <v>1.7208640866946717E-2</v>
      </c>
    </row>
    <row r="39" spans="1:3" x14ac:dyDescent="0.2">
      <c r="A39" s="1">
        <v>32964</v>
      </c>
      <c r="B39" s="21">
        <v>129.30000000000001</v>
      </c>
      <c r="C39">
        <f t="shared" si="0"/>
        <v>9.8958862168349142E-3</v>
      </c>
    </row>
    <row r="40" spans="1:3" x14ac:dyDescent="0.2">
      <c r="A40" s="1">
        <v>33055</v>
      </c>
      <c r="B40" s="21">
        <v>131.53299999999999</v>
      </c>
      <c r="C40">
        <f t="shared" si="0"/>
        <v>1.7269914926527265E-2</v>
      </c>
    </row>
    <row r="41" spans="1:3" x14ac:dyDescent="0.2">
      <c r="A41" s="1">
        <v>33147</v>
      </c>
      <c r="B41" s="21">
        <v>133.767</v>
      </c>
      <c r="C41">
        <f t="shared" si="0"/>
        <v>1.6984330928360252E-2</v>
      </c>
    </row>
    <row r="42" spans="1:3" x14ac:dyDescent="0.2">
      <c r="A42" s="1">
        <v>33239</v>
      </c>
      <c r="B42" s="21">
        <v>134.767</v>
      </c>
      <c r="C42">
        <f t="shared" si="0"/>
        <v>7.4756853334529442E-3</v>
      </c>
    </row>
    <row r="43" spans="1:3" x14ac:dyDescent="0.2">
      <c r="A43" s="1">
        <v>33329</v>
      </c>
      <c r="B43" s="21">
        <v>135.56700000000001</v>
      </c>
      <c r="C43">
        <f t="shared" si="0"/>
        <v>5.9361713179043188E-3</v>
      </c>
    </row>
    <row r="44" spans="1:3" x14ac:dyDescent="0.2">
      <c r="A44" s="1">
        <v>33420</v>
      </c>
      <c r="B44" s="21">
        <v>136.6</v>
      </c>
      <c r="C44">
        <f t="shared" si="0"/>
        <v>7.6198484882013104E-3</v>
      </c>
    </row>
    <row r="45" spans="1:3" x14ac:dyDescent="0.2">
      <c r="A45" s="1">
        <v>33512</v>
      </c>
      <c r="B45" s="21">
        <v>137.733</v>
      </c>
      <c r="C45">
        <f t="shared" si="0"/>
        <v>8.2942898975110532E-3</v>
      </c>
    </row>
    <row r="46" spans="1:3" x14ac:dyDescent="0.2">
      <c r="A46" s="1">
        <v>33604</v>
      </c>
      <c r="B46" s="21">
        <v>138.667</v>
      </c>
      <c r="C46">
        <f t="shared" si="0"/>
        <v>6.7812361598164382E-3</v>
      </c>
    </row>
    <row r="47" spans="1:3" x14ac:dyDescent="0.2">
      <c r="A47" s="1">
        <v>33695</v>
      </c>
      <c r="B47" s="21">
        <v>139.733</v>
      </c>
      <c r="C47">
        <f t="shared" si="0"/>
        <v>7.6874815204771322E-3</v>
      </c>
    </row>
    <row r="48" spans="1:3" x14ac:dyDescent="0.2">
      <c r="A48" s="1">
        <v>33786</v>
      </c>
      <c r="B48" s="21">
        <v>140.80000000000001</v>
      </c>
      <c r="C48">
        <f t="shared" si="0"/>
        <v>7.6359914980713732E-3</v>
      </c>
    </row>
    <row r="49" spans="1:3" x14ac:dyDescent="0.2">
      <c r="A49" s="1">
        <v>33878</v>
      </c>
      <c r="B49" s="21">
        <v>142.03299999999999</v>
      </c>
      <c r="C49">
        <f t="shared" si="0"/>
        <v>8.7571022727270988E-3</v>
      </c>
    </row>
    <row r="50" spans="1:3" x14ac:dyDescent="0.2">
      <c r="A50" s="1">
        <v>33970</v>
      </c>
      <c r="B50" s="21">
        <v>143.06700000000001</v>
      </c>
      <c r="C50">
        <f t="shared" si="0"/>
        <v>7.2799983102519858E-3</v>
      </c>
    </row>
    <row r="51" spans="1:3" x14ac:dyDescent="0.2">
      <c r="A51" s="1">
        <v>34060</v>
      </c>
      <c r="B51" s="21">
        <v>144.1</v>
      </c>
      <c r="C51">
        <f t="shared" si="0"/>
        <v>7.2203932423269305E-3</v>
      </c>
    </row>
    <row r="52" spans="1:3" x14ac:dyDescent="0.2">
      <c r="A52" s="1">
        <v>34151</v>
      </c>
      <c r="B52" s="21">
        <v>144.767</v>
      </c>
      <c r="C52">
        <f t="shared" si="0"/>
        <v>4.6287300485773879E-3</v>
      </c>
    </row>
    <row r="53" spans="1:3" x14ac:dyDescent="0.2">
      <c r="A53" s="1">
        <v>34243</v>
      </c>
      <c r="B53" s="21">
        <v>145.96700000000001</v>
      </c>
      <c r="C53">
        <f t="shared" si="0"/>
        <v>8.2891819268204568E-3</v>
      </c>
    </row>
    <row r="54" spans="1:3" x14ac:dyDescent="0.2">
      <c r="A54" s="1">
        <v>34335</v>
      </c>
      <c r="B54" s="21">
        <v>146.69999999999999</v>
      </c>
      <c r="C54">
        <f t="shared" si="0"/>
        <v>5.0216829831398573E-3</v>
      </c>
    </row>
    <row r="55" spans="1:3" x14ac:dyDescent="0.2">
      <c r="A55" s="1">
        <v>34425</v>
      </c>
      <c r="B55" s="21">
        <v>147.53299999999999</v>
      </c>
      <c r="C55">
        <f t="shared" si="0"/>
        <v>5.6782549420586123E-3</v>
      </c>
    </row>
    <row r="56" spans="1:3" x14ac:dyDescent="0.2">
      <c r="A56" s="1">
        <v>34516</v>
      </c>
      <c r="B56" s="21">
        <v>148.9</v>
      </c>
      <c r="C56">
        <f t="shared" si="0"/>
        <v>9.265723600821639E-3</v>
      </c>
    </row>
    <row r="57" spans="1:3" x14ac:dyDescent="0.2">
      <c r="A57" s="1">
        <v>34608</v>
      </c>
      <c r="B57" s="21">
        <v>149.767</v>
      </c>
      <c r="C57">
        <f t="shared" si="0"/>
        <v>5.8226997985224328E-3</v>
      </c>
    </row>
    <row r="58" spans="1:3" x14ac:dyDescent="0.2">
      <c r="A58" s="1">
        <v>34700</v>
      </c>
      <c r="B58" s="21">
        <v>150.86699999999999</v>
      </c>
      <c r="C58">
        <f t="shared" si="0"/>
        <v>7.3447421661647378E-3</v>
      </c>
    </row>
    <row r="59" spans="1:3" x14ac:dyDescent="0.2">
      <c r="A59" s="1">
        <v>34790</v>
      </c>
      <c r="B59" s="21">
        <v>152.1</v>
      </c>
      <c r="C59">
        <f t="shared" si="0"/>
        <v>8.1727614388832828E-3</v>
      </c>
    </row>
    <row r="60" spans="1:3" x14ac:dyDescent="0.2">
      <c r="A60" s="1">
        <v>34881</v>
      </c>
      <c r="B60" s="21">
        <v>152.86699999999999</v>
      </c>
      <c r="C60">
        <f t="shared" si="0"/>
        <v>5.0427350427350156E-3</v>
      </c>
    </row>
    <row r="61" spans="1:3" x14ac:dyDescent="0.2">
      <c r="A61" s="1">
        <v>34973</v>
      </c>
      <c r="B61" s="21">
        <v>153.69999999999999</v>
      </c>
      <c r="C61">
        <f t="shared" si="0"/>
        <v>5.4491813144759722E-3</v>
      </c>
    </row>
    <row r="62" spans="1:3" x14ac:dyDescent="0.2">
      <c r="A62" s="1">
        <v>35065</v>
      </c>
      <c r="B62" s="21">
        <v>155.06700000000001</v>
      </c>
      <c r="C62">
        <f t="shared" si="0"/>
        <v>8.893949251789322E-3</v>
      </c>
    </row>
    <row r="63" spans="1:3" x14ac:dyDescent="0.2">
      <c r="A63" s="1">
        <v>35156</v>
      </c>
      <c r="B63" s="21">
        <v>156.4</v>
      </c>
      <c r="C63">
        <f t="shared" si="0"/>
        <v>8.5962841868353571E-3</v>
      </c>
    </row>
    <row r="64" spans="1:3" x14ac:dyDescent="0.2">
      <c r="A64" s="1">
        <v>35247</v>
      </c>
      <c r="B64" s="21">
        <v>157.30000000000001</v>
      </c>
      <c r="C64">
        <f t="shared" si="0"/>
        <v>5.7544757033248439E-3</v>
      </c>
    </row>
    <row r="65" spans="1:3" x14ac:dyDescent="0.2">
      <c r="A65" s="1">
        <v>35339</v>
      </c>
      <c r="B65" s="21">
        <v>158.667</v>
      </c>
      <c r="C65">
        <f t="shared" si="0"/>
        <v>8.690400508582264E-3</v>
      </c>
    </row>
    <row r="66" spans="1:3" x14ac:dyDescent="0.2">
      <c r="A66" s="1">
        <v>35431</v>
      </c>
      <c r="B66" s="21">
        <v>159.63300000000001</v>
      </c>
      <c r="C66">
        <f t="shared" si="0"/>
        <v>6.0882225037342877E-3</v>
      </c>
    </row>
    <row r="67" spans="1:3" x14ac:dyDescent="0.2">
      <c r="A67" s="1">
        <v>35521</v>
      </c>
      <c r="B67" s="21">
        <v>160</v>
      </c>
      <c r="C67">
        <f t="shared" si="0"/>
        <v>2.2990233848890281E-3</v>
      </c>
    </row>
    <row r="68" spans="1:3" x14ac:dyDescent="0.2">
      <c r="A68" s="1">
        <v>35612</v>
      </c>
      <c r="B68" s="21">
        <v>160.80000000000001</v>
      </c>
      <c r="C68">
        <f t="shared" si="0"/>
        <v>5.0000000000000712E-3</v>
      </c>
    </row>
    <row r="69" spans="1:3" x14ac:dyDescent="0.2">
      <c r="A69" s="1">
        <v>35704</v>
      </c>
      <c r="B69" s="21">
        <v>161.667</v>
      </c>
      <c r="C69">
        <f t="shared" si="0"/>
        <v>5.3917910447760578E-3</v>
      </c>
    </row>
    <row r="70" spans="1:3" x14ac:dyDescent="0.2">
      <c r="A70" s="1">
        <v>35796</v>
      </c>
      <c r="B70" s="21">
        <v>162</v>
      </c>
      <c r="C70">
        <f t="shared" si="0"/>
        <v>2.0597895674441809E-3</v>
      </c>
    </row>
    <row r="71" spans="1:3" x14ac:dyDescent="0.2">
      <c r="A71" s="1">
        <v>35886</v>
      </c>
      <c r="B71" s="21">
        <v>162.53299999999999</v>
      </c>
      <c r="C71">
        <f t="shared" ref="C71:C134" si="1">(B71-B70)/B70</f>
        <v>3.2901234567900436E-3</v>
      </c>
    </row>
    <row r="72" spans="1:3" x14ac:dyDescent="0.2">
      <c r="A72" s="1">
        <v>35977</v>
      </c>
      <c r="B72" s="21">
        <v>163.36699999999999</v>
      </c>
      <c r="C72">
        <f t="shared" si="1"/>
        <v>5.1312656506678845E-3</v>
      </c>
    </row>
    <row r="73" spans="1:3" x14ac:dyDescent="0.2">
      <c r="A73" s="1">
        <v>36069</v>
      </c>
      <c r="B73" s="21">
        <v>164.13300000000001</v>
      </c>
      <c r="C73">
        <f t="shared" si="1"/>
        <v>4.6888294453593417E-3</v>
      </c>
    </row>
    <row r="74" spans="1:3" x14ac:dyDescent="0.2">
      <c r="A74" s="1">
        <v>36161</v>
      </c>
      <c r="B74" s="21">
        <v>164.733</v>
      </c>
      <c r="C74">
        <f t="shared" si="1"/>
        <v>3.655572005629546E-3</v>
      </c>
    </row>
    <row r="75" spans="1:3" x14ac:dyDescent="0.2">
      <c r="A75" s="1">
        <v>36251</v>
      </c>
      <c r="B75" s="21">
        <v>165.96700000000001</v>
      </c>
      <c r="C75">
        <f t="shared" si="1"/>
        <v>7.4909095323948986E-3</v>
      </c>
    </row>
    <row r="76" spans="1:3" x14ac:dyDescent="0.2">
      <c r="A76" s="1">
        <v>36342</v>
      </c>
      <c r="B76" s="21">
        <v>167.2</v>
      </c>
      <c r="C76">
        <f t="shared" si="1"/>
        <v>7.4291877300907746E-3</v>
      </c>
    </row>
    <row r="77" spans="1:3" x14ac:dyDescent="0.2">
      <c r="A77" s="1">
        <v>36434</v>
      </c>
      <c r="B77" s="21">
        <v>168.43299999999999</v>
      </c>
      <c r="C77">
        <f t="shared" si="1"/>
        <v>7.3744019138756228E-3</v>
      </c>
    </row>
    <row r="78" spans="1:3" x14ac:dyDescent="0.2">
      <c r="A78" s="1">
        <v>36526</v>
      </c>
      <c r="B78" s="21">
        <v>170.1</v>
      </c>
      <c r="C78">
        <f t="shared" si="1"/>
        <v>9.8971104237293266E-3</v>
      </c>
    </row>
    <row r="79" spans="1:3" x14ac:dyDescent="0.2">
      <c r="A79" s="1">
        <v>36617</v>
      </c>
      <c r="B79" s="21">
        <v>171.43299999999999</v>
      </c>
      <c r="C79">
        <f t="shared" si="1"/>
        <v>7.836566725455605E-3</v>
      </c>
    </row>
    <row r="80" spans="1:3" x14ac:dyDescent="0.2">
      <c r="A80" s="1">
        <v>36708</v>
      </c>
      <c r="B80" s="21">
        <v>173</v>
      </c>
      <c r="C80">
        <f t="shared" si="1"/>
        <v>9.1405972012390101E-3</v>
      </c>
    </row>
    <row r="81" spans="1:3" x14ac:dyDescent="0.2">
      <c r="A81" s="1">
        <v>36800</v>
      </c>
      <c r="B81" s="21">
        <v>174.233</v>
      </c>
      <c r="C81">
        <f t="shared" si="1"/>
        <v>7.1271676300578273E-3</v>
      </c>
    </row>
    <row r="82" spans="1:3" x14ac:dyDescent="0.2">
      <c r="A82" s="1">
        <v>36892</v>
      </c>
      <c r="B82" s="21">
        <v>175.9</v>
      </c>
      <c r="C82">
        <f t="shared" si="1"/>
        <v>9.5676479197396684E-3</v>
      </c>
    </row>
    <row r="83" spans="1:3" x14ac:dyDescent="0.2">
      <c r="A83" s="1">
        <v>36982</v>
      </c>
      <c r="B83" s="21">
        <v>177.13300000000001</v>
      </c>
      <c r="C83">
        <f t="shared" si="1"/>
        <v>7.009664582148971E-3</v>
      </c>
    </row>
    <row r="84" spans="1:3" x14ac:dyDescent="0.2">
      <c r="A84" s="1">
        <v>37073</v>
      </c>
      <c r="B84" s="21">
        <v>177.63300000000001</v>
      </c>
      <c r="C84">
        <f t="shared" si="1"/>
        <v>2.8227377168568248E-3</v>
      </c>
    </row>
    <row r="85" spans="1:3" x14ac:dyDescent="0.2">
      <c r="A85" s="1">
        <v>37165</v>
      </c>
      <c r="B85" s="21">
        <v>177.5</v>
      </c>
      <c r="C85">
        <f t="shared" si="1"/>
        <v>-7.4873475086278886E-4</v>
      </c>
    </row>
    <row r="86" spans="1:3" x14ac:dyDescent="0.2">
      <c r="A86" s="1">
        <v>37257</v>
      </c>
      <c r="B86" s="21">
        <v>178.06700000000001</v>
      </c>
      <c r="C86">
        <f t="shared" si="1"/>
        <v>3.1943661971831397E-3</v>
      </c>
    </row>
    <row r="87" spans="1:3" x14ac:dyDescent="0.2">
      <c r="A87" s="1">
        <v>37347</v>
      </c>
      <c r="B87" s="21">
        <v>179.46700000000001</v>
      </c>
      <c r="C87">
        <f t="shared" si="1"/>
        <v>7.8622091684590941E-3</v>
      </c>
    </row>
    <row r="88" spans="1:3" x14ac:dyDescent="0.2">
      <c r="A88" s="1">
        <v>37438</v>
      </c>
      <c r="B88" s="21">
        <v>180.43299999999999</v>
      </c>
      <c r="C88">
        <f t="shared" si="1"/>
        <v>5.3826051586084332E-3</v>
      </c>
    </row>
    <row r="89" spans="1:3" x14ac:dyDescent="0.2">
      <c r="A89" s="1">
        <v>37530</v>
      </c>
      <c r="B89" s="21">
        <v>181.5</v>
      </c>
      <c r="C89">
        <f t="shared" si="1"/>
        <v>5.9135523989514516E-3</v>
      </c>
    </row>
    <row r="90" spans="1:3" x14ac:dyDescent="0.2">
      <c r="A90" s="1">
        <v>37622</v>
      </c>
      <c r="B90" s="21">
        <v>183.36699999999999</v>
      </c>
      <c r="C90">
        <f t="shared" si="1"/>
        <v>1.0286501377410414E-2</v>
      </c>
    </row>
    <row r="91" spans="1:3" x14ac:dyDescent="0.2">
      <c r="A91" s="1">
        <v>37712</v>
      </c>
      <c r="B91" s="21">
        <v>183.06700000000001</v>
      </c>
      <c r="C91">
        <f t="shared" si="1"/>
        <v>-1.6360631956676118E-3</v>
      </c>
    </row>
    <row r="92" spans="1:3" x14ac:dyDescent="0.2">
      <c r="A92" s="1">
        <v>37803</v>
      </c>
      <c r="B92" s="21">
        <v>184.43299999999999</v>
      </c>
      <c r="C92">
        <f t="shared" si="1"/>
        <v>7.4617489771503622E-3</v>
      </c>
    </row>
    <row r="93" spans="1:3" x14ac:dyDescent="0.2">
      <c r="A93" s="1">
        <v>37895</v>
      </c>
      <c r="B93" s="21">
        <v>185.13300000000001</v>
      </c>
      <c r="C93">
        <f t="shared" si="1"/>
        <v>3.7954162216090239E-3</v>
      </c>
    </row>
    <row r="94" spans="1:3" x14ac:dyDescent="0.2">
      <c r="A94" s="1">
        <v>37987</v>
      </c>
      <c r="B94" s="21">
        <v>186.7</v>
      </c>
      <c r="C94">
        <f t="shared" si="1"/>
        <v>8.4641852073913289E-3</v>
      </c>
    </row>
    <row r="95" spans="1:3" x14ac:dyDescent="0.2">
      <c r="A95" s="1">
        <v>38078</v>
      </c>
      <c r="B95" s="21">
        <v>188.167</v>
      </c>
      <c r="C95">
        <f t="shared" si="1"/>
        <v>7.8575254418854473E-3</v>
      </c>
    </row>
    <row r="96" spans="1:3" x14ac:dyDescent="0.2">
      <c r="A96" s="1">
        <v>38169</v>
      </c>
      <c r="B96" s="21">
        <v>189.36699999999999</v>
      </c>
      <c r="C96">
        <f t="shared" si="1"/>
        <v>6.3773137691518099E-3</v>
      </c>
    </row>
    <row r="97" spans="1:3" x14ac:dyDescent="0.2">
      <c r="A97" s="1">
        <v>38261</v>
      </c>
      <c r="B97" s="21">
        <v>191.4</v>
      </c>
      <c r="C97">
        <f t="shared" si="1"/>
        <v>1.0735767055506057E-2</v>
      </c>
    </row>
    <row r="98" spans="1:3" x14ac:dyDescent="0.2">
      <c r="A98" s="1">
        <v>38353</v>
      </c>
      <c r="B98" s="21">
        <v>192.36699999999999</v>
      </c>
      <c r="C98">
        <f t="shared" si="1"/>
        <v>5.0522466039706606E-3</v>
      </c>
    </row>
    <row r="99" spans="1:3" x14ac:dyDescent="0.2">
      <c r="A99" s="1">
        <v>38443</v>
      </c>
      <c r="B99" s="21">
        <v>193.667</v>
      </c>
      <c r="C99">
        <f t="shared" si="1"/>
        <v>6.7579158587492208E-3</v>
      </c>
    </row>
    <row r="100" spans="1:3" x14ac:dyDescent="0.2">
      <c r="A100" s="1">
        <v>38534</v>
      </c>
      <c r="B100" s="21">
        <v>196.6</v>
      </c>
      <c r="C100">
        <f t="shared" si="1"/>
        <v>1.5144552246897989E-2</v>
      </c>
    </row>
    <row r="101" spans="1:3" x14ac:dyDescent="0.2">
      <c r="A101" s="1">
        <v>38626</v>
      </c>
      <c r="B101" s="21">
        <v>198.43299999999999</v>
      </c>
      <c r="C101">
        <f t="shared" si="1"/>
        <v>9.3234994913529937E-3</v>
      </c>
    </row>
    <row r="102" spans="1:3" x14ac:dyDescent="0.2">
      <c r="A102" s="1">
        <v>38718</v>
      </c>
      <c r="B102" s="21">
        <v>199.46700000000001</v>
      </c>
      <c r="C102">
        <f t="shared" si="1"/>
        <v>5.2108268281990406E-3</v>
      </c>
    </row>
    <row r="103" spans="1:3" x14ac:dyDescent="0.2">
      <c r="A103" s="1">
        <v>38808</v>
      </c>
      <c r="B103" s="21">
        <v>201.267</v>
      </c>
      <c r="C103">
        <f t="shared" si="1"/>
        <v>9.0240490908269685E-3</v>
      </c>
    </row>
    <row r="104" spans="1:3" x14ac:dyDescent="0.2">
      <c r="A104" s="1">
        <v>38899</v>
      </c>
      <c r="B104" s="21">
        <v>203.167</v>
      </c>
      <c r="C104">
        <f t="shared" si="1"/>
        <v>9.4401963560842347E-3</v>
      </c>
    </row>
    <row r="105" spans="1:3" x14ac:dyDescent="0.2">
      <c r="A105" s="1">
        <v>38991</v>
      </c>
      <c r="B105" s="21">
        <v>202.333</v>
      </c>
      <c r="C105">
        <f t="shared" si="1"/>
        <v>-4.1049973666983479E-3</v>
      </c>
    </row>
    <row r="106" spans="1:3" x14ac:dyDescent="0.2">
      <c r="A106" s="1">
        <v>39083</v>
      </c>
      <c r="B106" s="21">
        <v>204.31700000000001</v>
      </c>
      <c r="C106">
        <f t="shared" si="1"/>
        <v>9.8056174721869831E-3</v>
      </c>
    </row>
    <row r="107" spans="1:3" x14ac:dyDescent="0.2">
      <c r="A107" s="1">
        <v>39173</v>
      </c>
      <c r="B107" s="21">
        <v>206.631</v>
      </c>
      <c r="C107">
        <f t="shared" si="1"/>
        <v>1.132553825672848E-2</v>
      </c>
    </row>
    <row r="108" spans="1:3" x14ac:dyDescent="0.2">
      <c r="A108" s="1">
        <v>39264</v>
      </c>
      <c r="B108" s="21">
        <v>207.93899999999999</v>
      </c>
      <c r="C108">
        <f t="shared" si="1"/>
        <v>6.3301247150717591E-3</v>
      </c>
    </row>
    <row r="109" spans="1:3" x14ac:dyDescent="0.2">
      <c r="A109" s="1">
        <v>39356</v>
      </c>
      <c r="B109" s="21">
        <v>210.49</v>
      </c>
      <c r="C109">
        <f t="shared" si="1"/>
        <v>1.2268020909978486E-2</v>
      </c>
    </row>
    <row r="110" spans="1:3" x14ac:dyDescent="0.2">
      <c r="A110" s="1">
        <v>39448</v>
      </c>
      <c r="B110" s="21">
        <v>212.77</v>
      </c>
      <c r="C110">
        <f t="shared" si="1"/>
        <v>1.0831868497315792E-2</v>
      </c>
    </row>
    <row r="111" spans="1:3" x14ac:dyDescent="0.2">
      <c r="A111" s="1">
        <v>39539</v>
      </c>
      <c r="B111" s="21">
        <v>215.53800000000001</v>
      </c>
      <c r="C111">
        <f t="shared" si="1"/>
        <v>1.3009352822296379E-2</v>
      </c>
    </row>
    <row r="112" spans="1:3" x14ac:dyDescent="0.2">
      <c r="A112" s="1">
        <v>39630</v>
      </c>
      <c r="B112" s="21">
        <v>218.86099999999999</v>
      </c>
      <c r="C112">
        <f t="shared" si="1"/>
        <v>1.5417235011923554E-2</v>
      </c>
    </row>
    <row r="113" spans="1:3" x14ac:dyDescent="0.2">
      <c r="A113" s="1">
        <v>39722</v>
      </c>
      <c r="B113" s="21">
        <v>213.84899999999999</v>
      </c>
      <c r="C113">
        <f t="shared" si="1"/>
        <v>-2.2900379693047188E-2</v>
      </c>
    </row>
    <row r="114" spans="1:3" x14ac:dyDescent="0.2">
      <c r="A114" s="1">
        <v>39814</v>
      </c>
      <c r="B114" s="21">
        <v>212.37799999999999</v>
      </c>
      <c r="C114">
        <f t="shared" si="1"/>
        <v>-6.8786854275680676E-3</v>
      </c>
    </row>
    <row r="115" spans="1:3" x14ac:dyDescent="0.2">
      <c r="A115" s="1">
        <v>39904</v>
      </c>
      <c r="B115" s="21">
        <v>213.50700000000001</v>
      </c>
      <c r="C115">
        <f t="shared" si="1"/>
        <v>5.3159931819680905E-3</v>
      </c>
    </row>
    <row r="116" spans="1:3" x14ac:dyDescent="0.2">
      <c r="A116" s="1">
        <v>39995</v>
      </c>
      <c r="B116" s="21">
        <v>215.34399999999999</v>
      </c>
      <c r="C116">
        <f t="shared" si="1"/>
        <v>8.6039333604986685E-3</v>
      </c>
    </row>
    <row r="117" spans="1:3" x14ac:dyDescent="0.2">
      <c r="A117" s="1">
        <v>40087</v>
      </c>
      <c r="B117" s="21">
        <v>217.03</v>
      </c>
      <c r="C117">
        <f t="shared" si="1"/>
        <v>7.8293335314659658E-3</v>
      </c>
    </row>
    <row r="118" spans="1:3" x14ac:dyDescent="0.2">
      <c r="A118" s="1">
        <v>40179</v>
      </c>
      <c r="B118" s="21">
        <v>217.374</v>
      </c>
      <c r="C118">
        <f t="shared" si="1"/>
        <v>1.5850343270515325E-3</v>
      </c>
    </row>
    <row r="119" spans="1:3" x14ac:dyDescent="0.2">
      <c r="A119" s="1">
        <v>40269</v>
      </c>
      <c r="B119" s="21">
        <v>217.297</v>
      </c>
      <c r="C119">
        <f t="shared" si="1"/>
        <v>-3.5422819656443817E-4</v>
      </c>
    </row>
    <row r="120" spans="1:3" x14ac:dyDescent="0.2">
      <c r="A120" s="1">
        <v>40360</v>
      </c>
      <c r="B120" s="21">
        <v>217.934</v>
      </c>
      <c r="C120">
        <f t="shared" si="1"/>
        <v>2.9314716724114943E-3</v>
      </c>
    </row>
    <row r="121" spans="1:3" x14ac:dyDescent="0.2">
      <c r="A121" s="1">
        <v>40452</v>
      </c>
      <c r="B121" s="21">
        <v>219.69900000000001</v>
      </c>
      <c r="C121">
        <f t="shared" si="1"/>
        <v>8.0987822001156989E-3</v>
      </c>
    </row>
    <row r="122" spans="1:3" x14ac:dyDescent="0.2">
      <c r="A122" s="1">
        <v>40544</v>
      </c>
      <c r="B122" s="21">
        <v>222.04400000000001</v>
      </c>
      <c r="C122">
        <f t="shared" si="1"/>
        <v>1.0673694463789088E-2</v>
      </c>
    </row>
    <row r="123" spans="1:3" x14ac:dyDescent="0.2">
      <c r="A123" s="1">
        <v>40634</v>
      </c>
      <c r="B123" s="21">
        <v>224.56800000000001</v>
      </c>
      <c r="C123">
        <f t="shared" si="1"/>
        <v>1.1367116427374759E-2</v>
      </c>
    </row>
    <row r="124" spans="1:3" x14ac:dyDescent="0.2">
      <c r="A124" s="1">
        <v>40725</v>
      </c>
      <c r="B124" s="21">
        <v>226.03299999999999</v>
      </c>
      <c r="C124">
        <f t="shared" si="1"/>
        <v>6.5236364931779015E-3</v>
      </c>
    </row>
    <row r="125" spans="1:3" x14ac:dyDescent="0.2">
      <c r="A125" s="1">
        <v>40817</v>
      </c>
      <c r="B125" s="21">
        <v>227.047</v>
      </c>
      <c r="C125">
        <f t="shared" si="1"/>
        <v>4.4860706180071498E-3</v>
      </c>
    </row>
    <row r="126" spans="1:3" x14ac:dyDescent="0.2">
      <c r="A126" s="1">
        <v>40909</v>
      </c>
      <c r="B126" s="21">
        <v>228.32599999999999</v>
      </c>
      <c r="C126">
        <f t="shared" si="1"/>
        <v>5.6331948891639016E-3</v>
      </c>
    </row>
    <row r="127" spans="1:3" x14ac:dyDescent="0.2">
      <c r="A127" s="1">
        <v>41000</v>
      </c>
      <c r="B127" s="21">
        <v>228.80799999999999</v>
      </c>
      <c r="C127">
        <f t="shared" si="1"/>
        <v>2.1110167041861168E-3</v>
      </c>
    </row>
    <row r="128" spans="1:3" x14ac:dyDescent="0.2">
      <c r="A128" s="1">
        <v>41091</v>
      </c>
      <c r="B128" s="21">
        <v>229.84100000000001</v>
      </c>
      <c r="C128">
        <f t="shared" si="1"/>
        <v>4.5147022831370206E-3</v>
      </c>
    </row>
    <row r="129" spans="1:3" x14ac:dyDescent="0.2">
      <c r="A129" s="1">
        <v>41183</v>
      </c>
      <c r="B129" s="21">
        <v>231.369</v>
      </c>
      <c r="C129">
        <f t="shared" si="1"/>
        <v>6.6480741034018803E-3</v>
      </c>
    </row>
    <row r="130" spans="1:3" x14ac:dyDescent="0.2">
      <c r="A130" s="1">
        <v>41275</v>
      </c>
      <c r="B130" s="21">
        <v>232.29900000000001</v>
      </c>
      <c r="C130">
        <f t="shared" si="1"/>
        <v>4.0195531812818779E-3</v>
      </c>
    </row>
    <row r="131" spans="1:3" x14ac:dyDescent="0.2">
      <c r="A131" s="1">
        <v>41365</v>
      </c>
      <c r="B131" s="21">
        <v>232.04499999999999</v>
      </c>
      <c r="C131">
        <f t="shared" si="1"/>
        <v>-1.0934183961188774E-3</v>
      </c>
    </row>
    <row r="132" spans="1:3" x14ac:dyDescent="0.2">
      <c r="A132" s="1">
        <v>41456</v>
      </c>
      <c r="B132" s="21">
        <v>233.3</v>
      </c>
      <c r="C132">
        <f t="shared" si="1"/>
        <v>5.4084337089789648E-3</v>
      </c>
    </row>
    <row r="133" spans="1:3" x14ac:dyDescent="0.2">
      <c r="A133" s="1">
        <v>41548</v>
      </c>
      <c r="B133" s="21">
        <v>234.16300000000001</v>
      </c>
      <c r="C133">
        <f t="shared" si="1"/>
        <v>3.6990998714101992E-3</v>
      </c>
    </row>
    <row r="134" spans="1:3" x14ac:dyDescent="0.2">
      <c r="A134" s="1">
        <v>41640</v>
      </c>
      <c r="B134" s="21">
        <v>235.62100000000001</v>
      </c>
      <c r="C134">
        <f t="shared" si="1"/>
        <v>6.2264320153055707E-3</v>
      </c>
    </row>
    <row r="135" spans="1:3" x14ac:dyDescent="0.2">
      <c r="A135" s="1">
        <v>41730</v>
      </c>
      <c r="B135" s="21">
        <v>236.87200000000001</v>
      </c>
      <c r="C135">
        <f t="shared" ref="C135:C180" si="2">(B135-B134)/B134</f>
        <v>5.3093739522368753E-3</v>
      </c>
    </row>
    <row r="136" spans="1:3" x14ac:dyDescent="0.2">
      <c r="A136" s="1">
        <v>41821</v>
      </c>
      <c r="B136" s="21">
        <v>237.47800000000001</v>
      </c>
      <c r="C136">
        <f t="shared" si="2"/>
        <v>2.5583437468337097E-3</v>
      </c>
    </row>
    <row r="137" spans="1:3" x14ac:dyDescent="0.2">
      <c r="A137" s="1">
        <v>41913</v>
      </c>
      <c r="B137" s="21">
        <v>236.88800000000001</v>
      </c>
      <c r="C137">
        <f t="shared" si="2"/>
        <v>-2.484440663977309E-3</v>
      </c>
    </row>
    <row r="138" spans="1:3" x14ac:dyDescent="0.2">
      <c r="A138" s="1">
        <v>42005</v>
      </c>
      <c r="B138" s="21">
        <v>235.35499999999999</v>
      </c>
      <c r="C138">
        <f t="shared" si="2"/>
        <v>-6.4714126507041956E-3</v>
      </c>
    </row>
    <row r="139" spans="1:3" x14ac:dyDescent="0.2">
      <c r="A139" s="1">
        <v>42095</v>
      </c>
      <c r="B139" s="21">
        <v>236.96</v>
      </c>
      <c r="C139">
        <f t="shared" si="2"/>
        <v>6.8194854581377848E-3</v>
      </c>
    </row>
    <row r="140" spans="1:3" x14ac:dyDescent="0.2">
      <c r="A140" s="1">
        <v>42186</v>
      </c>
      <c r="B140" s="21">
        <v>237.85499999999999</v>
      </c>
      <c r="C140">
        <f t="shared" si="2"/>
        <v>3.7770087778527255E-3</v>
      </c>
    </row>
    <row r="141" spans="1:3" x14ac:dyDescent="0.2">
      <c r="A141" s="1">
        <v>42278</v>
      </c>
      <c r="B141" s="21">
        <v>237.83699999999999</v>
      </c>
      <c r="C141">
        <f t="shared" si="2"/>
        <v>-7.5676357444664537E-5</v>
      </c>
    </row>
    <row r="142" spans="1:3" x14ac:dyDescent="0.2">
      <c r="A142" s="1">
        <v>42370</v>
      </c>
      <c r="B142" s="21">
        <v>237.68899999999999</v>
      </c>
      <c r="C142">
        <f t="shared" si="2"/>
        <v>-6.222749193775407E-4</v>
      </c>
    </row>
    <row r="143" spans="1:3" x14ac:dyDescent="0.2">
      <c r="A143" s="1">
        <v>42461</v>
      </c>
      <c r="B143" s="21">
        <v>239.59</v>
      </c>
      <c r="C143">
        <f t="shared" si="2"/>
        <v>7.9978459247167961E-3</v>
      </c>
    </row>
    <row r="144" spans="1:3" x14ac:dyDescent="0.2">
      <c r="A144" s="1">
        <v>42552</v>
      </c>
      <c r="B144" s="21">
        <v>240.607</v>
      </c>
      <c r="C144">
        <f t="shared" si="2"/>
        <v>4.2447514503944064E-3</v>
      </c>
    </row>
    <row r="145" spans="1:3" x14ac:dyDescent="0.2">
      <c r="A145" s="1">
        <v>42644</v>
      </c>
      <c r="B145" s="21">
        <v>242.13499999999999</v>
      </c>
      <c r="C145">
        <f t="shared" si="2"/>
        <v>6.350604928368633E-3</v>
      </c>
    </row>
    <row r="146" spans="1:3" x14ac:dyDescent="0.2">
      <c r="A146" s="1">
        <v>42736</v>
      </c>
      <c r="B146" s="21">
        <v>243.839</v>
      </c>
      <c r="C146">
        <f t="shared" si="2"/>
        <v>7.0373964936915681E-3</v>
      </c>
    </row>
    <row r="147" spans="1:3" x14ac:dyDescent="0.2">
      <c r="A147" s="1">
        <v>42826</v>
      </c>
      <c r="B147" s="21">
        <v>244.12</v>
      </c>
      <c r="C147">
        <f t="shared" si="2"/>
        <v>1.152399739172183E-3</v>
      </c>
    </row>
    <row r="148" spans="1:3" x14ac:dyDescent="0.2">
      <c r="A148" s="1">
        <v>42917</v>
      </c>
      <c r="B148" s="21">
        <v>245.28700000000001</v>
      </c>
      <c r="C148">
        <f t="shared" si="2"/>
        <v>4.7804358512207176E-3</v>
      </c>
    </row>
    <row r="149" spans="1:3" x14ac:dyDescent="0.2">
      <c r="A149" s="1">
        <v>43009</v>
      </c>
      <c r="B149" s="21">
        <v>247.238</v>
      </c>
      <c r="C149">
        <f t="shared" si="2"/>
        <v>7.9539478243852851E-3</v>
      </c>
    </row>
    <row r="150" spans="1:3" x14ac:dyDescent="0.2">
      <c r="A150" s="1">
        <v>43101</v>
      </c>
      <c r="B150" s="21">
        <v>249.322</v>
      </c>
      <c r="C150">
        <f t="shared" si="2"/>
        <v>8.429124972698385E-3</v>
      </c>
    </row>
    <row r="151" spans="1:3" x14ac:dyDescent="0.2">
      <c r="A151" s="1">
        <v>43191</v>
      </c>
      <c r="B151" s="21">
        <v>250.679</v>
      </c>
      <c r="C151">
        <f t="shared" si="2"/>
        <v>5.4427607672006455E-3</v>
      </c>
    </row>
    <row r="152" spans="1:3" x14ac:dyDescent="0.2">
      <c r="A152" s="1">
        <v>43282</v>
      </c>
      <c r="B152" s="21">
        <v>251.68600000000001</v>
      </c>
      <c r="C152">
        <f t="shared" si="2"/>
        <v>4.0170895846880069E-3</v>
      </c>
    </row>
    <row r="153" spans="1:3" x14ac:dyDescent="0.2">
      <c r="A153" s="1">
        <v>43374</v>
      </c>
      <c r="B153" s="21">
        <v>252.71100000000001</v>
      </c>
      <c r="C153">
        <f t="shared" si="2"/>
        <v>4.0725348251392833E-3</v>
      </c>
    </row>
    <row r="154" spans="1:3" x14ac:dyDescent="0.2">
      <c r="A154" s="1">
        <v>43466</v>
      </c>
      <c r="B154" s="21">
        <v>253.386</v>
      </c>
      <c r="C154">
        <f t="shared" si="2"/>
        <v>2.6710352932796076E-3</v>
      </c>
    </row>
    <row r="155" spans="1:3" x14ac:dyDescent="0.2">
      <c r="A155" s="1">
        <v>43556</v>
      </c>
      <c r="B155" s="21">
        <v>255.24700000000001</v>
      </c>
      <c r="C155">
        <f t="shared" si="2"/>
        <v>7.3445257433323802E-3</v>
      </c>
    </row>
    <row r="156" spans="1:3" x14ac:dyDescent="0.2">
      <c r="A156" s="1">
        <v>43647</v>
      </c>
      <c r="B156" s="21">
        <v>256.089</v>
      </c>
      <c r="C156">
        <f t="shared" si="2"/>
        <v>3.2987655094868285E-3</v>
      </c>
    </row>
    <row r="157" spans="1:3" x14ac:dyDescent="0.2">
      <c r="A157" s="1">
        <v>43739</v>
      </c>
      <c r="B157" s="21">
        <v>257.88799999999998</v>
      </c>
      <c r="C157">
        <f t="shared" si="2"/>
        <v>7.0249014990881225E-3</v>
      </c>
    </row>
    <row r="158" spans="1:3" x14ac:dyDescent="0.2">
      <c r="A158" s="1">
        <v>43831</v>
      </c>
      <c r="B158" s="21">
        <v>258.81799999999998</v>
      </c>
      <c r="C158">
        <f t="shared" si="2"/>
        <v>3.606216652190125E-3</v>
      </c>
    </row>
    <row r="159" spans="1:3" x14ac:dyDescent="0.2">
      <c r="A159" s="1">
        <v>43922</v>
      </c>
      <c r="B159" s="21">
        <v>256.29199999999997</v>
      </c>
      <c r="C159">
        <f t="shared" si="2"/>
        <v>-9.7597539583800606E-3</v>
      </c>
    </row>
    <row r="160" spans="1:3" x14ac:dyDescent="0.2">
      <c r="A160" s="1">
        <v>44013</v>
      </c>
      <c r="B160" s="21">
        <v>259.22199999999998</v>
      </c>
      <c r="C160">
        <f t="shared" si="2"/>
        <v>1.1432272564106593E-2</v>
      </c>
    </row>
    <row r="161" spans="1:3" x14ac:dyDescent="0.2">
      <c r="A161" s="1">
        <v>44105</v>
      </c>
      <c r="B161" s="21">
        <v>261.09199999999998</v>
      </c>
      <c r="C161">
        <f t="shared" si="2"/>
        <v>7.2138938824636975E-3</v>
      </c>
    </row>
    <row r="162" spans="1:3" x14ac:dyDescent="0.2">
      <c r="A162" s="1">
        <v>44197</v>
      </c>
      <c r="B162" s="21">
        <v>263.74200000000002</v>
      </c>
      <c r="C162">
        <f t="shared" si="2"/>
        <v>1.0149679040338403E-2</v>
      </c>
    </row>
    <row r="163" spans="1:3" x14ac:dyDescent="0.2">
      <c r="A163" s="1">
        <v>44287</v>
      </c>
      <c r="B163" s="21">
        <v>268.55</v>
      </c>
      <c r="C163">
        <f t="shared" si="2"/>
        <v>1.8229936832207205E-2</v>
      </c>
    </row>
    <row r="164" spans="1:3" x14ac:dyDescent="0.2">
      <c r="A164" s="1">
        <v>44378</v>
      </c>
      <c r="B164" s="21">
        <v>272.83</v>
      </c>
      <c r="C164">
        <f t="shared" si="2"/>
        <v>1.5937441817166161E-2</v>
      </c>
    </row>
    <row r="165" spans="1:3" x14ac:dyDescent="0.2">
      <c r="A165" s="1">
        <v>44470</v>
      </c>
      <c r="B165" s="21">
        <v>278.77100000000002</v>
      </c>
      <c r="C165">
        <f t="shared" si="2"/>
        <v>2.1775464575010194E-2</v>
      </c>
    </row>
    <row r="166" spans="1:3" x14ac:dyDescent="0.2">
      <c r="A166" s="1">
        <v>44562</v>
      </c>
      <c r="B166" s="21">
        <v>284.90600000000001</v>
      </c>
      <c r="C166">
        <f t="shared" si="2"/>
        <v>2.2007310660004057E-2</v>
      </c>
    </row>
    <row r="167" spans="1:3" x14ac:dyDescent="0.2">
      <c r="A167" s="1">
        <v>44652</v>
      </c>
      <c r="B167" s="21">
        <v>291.60500000000002</v>
      </c>
      <c r="C167">
        <f t="shared" si="2"/>
        <v>2.3513018328852366E-2</v>
      </c>
    </row>
    <row r="168" spans="1:3" x14ac:dyDescent="0.2">
      <c r="A168" s="1">
        <v>44743</v>
      </c>
      <c r="B168" s="21">
        <v>295.45299999999997</v>
      </c>
      <c r="C168">
        <f t="shared" si="2"/>
        <v>1.3195932854374775E-2</v>
      </c>
    </row>
    <row r="169" spans="1:3" x14ac:dyDescent="0.2">
      <c r="A169" s="1">
        <v>44835</v>
      </c>
      <c r="B169" s="21">
        <v>298.54199999999997</v>
      </c>
      <c r="C169">
        <f t="shared" si="2"/>
        <v>1.0455131611457657E-2</v>
      </c>
    </row>
    <row r="170" spans="1:3" x14ac:dyDescent="0.2">
      <c r="A170" s="1">
        <v>44927</v>
      </c>
      <c r="B170" s="21">
        <v>301.23</v>
      </c>
      <c r="C170">
        <f t="shared" si="2"/>
        <v>9.0037582651688718E-3</v>
      </c>
    </row>
    <row r="171" spans="1:3" x14ac:dyDescent="0.2">
      <c r="A171" s="1">
        <v>45017</v>
      </c>
      <c r="B171" s="21">
        <v>303.39800000000002</v>
      </c>
      <c r="C171">
        <f t="shared" si="2"/>
        <v>7.197158317564672E-3</v>
      </c>
    </row>
    <row r="172" spans="1:3" x14ac:dyDescent="0.2">
      <c r="A172" s="1">
        <v>45108</v>
      </c>
      <c r="B172" s="21">
        <v>305.98899999999998</v>
      </c>
      <c r="C172">
        <f t="shared" si="2"/>
        <v>8.5399376396678665E-3</v>
      </c>
    </row>
    <row r="173" spans="1:3" x14ac:dyDescent="0.2">
      <c r="A173" s="1">
        <v>45200</v>
      </c>
      <c r="B173" s="21">
        <v>308.19499999999999</v>
      </c>
      <c r="C173">
        <f t="shared" si="2"/>
        <v>7.209409488576444E-3</v>
      </c>
    </row>
    <row r="174" spans="1:3" x14ac:dyDescent="0.2">
      <c r="A174" s="1">
        <v>45292</v>
      </c>
      <c r="B174" s="21">
        <v>311.00299999999999</v>
      </c>
      <c r="C174">
        <f t="shared" si="2"/>
        <v>9.1111147163321689E-3</v>
      </c>
    </row>
    <row r="175" spans="1:3" x14ac:dyDescent="0.2">
      <c r="A175" s="1">
        <v>45383</v>
      </c>
      <c r="B175" s="21">
        <v>313.08100000000002</v>
      </c>
      <c r="C175">
        <f t="shared" si="2"/>
        <v>6.6816075729174045E-3</v>
      </c>
    </row>
    <row r="176" spans="1:3" x14ac:dyDescent="0.2">
      <c r="A176" s="1">
        <v>45474</v>
      </c>
      <c r="B176" s="21">
        <v>314.12099999999998</v>
      </c>
      <c r="C176">
        <f t="shared" si="2"/>
        <v>3.3218240646987955E-3</v>
      </c>
    </row>
    <row r="177" spans="1:3" x14ac:dyDescent="0.2">
      <c r="A177" s="1">
        <v>45566</v>
      </c>
      <c r="B177" s="21">
        <v>316.58800000000002</v>
      </c>
      <c r="C177">
        <f t="shared" si="2"/>
        <v>7.8536614871340706E-3</v>
      </c>
    </row>
    <row r="178" spans="1:3" x14ac:dyDescent="0.2">
      <c r="A178" s="1">
        <v>45658</v>
      </c>
      <c r="B178" s="21">
        <v>319.47500000000002</v>
      </c>
      <c r="C178">
        <f t="shared" si="2"/>
        <v>9.1191074835432814E-3</v>
      </c>
    </row>
    <row r="179" spans="1:3" x14ac:dyDescent="0.2">
      <c r="A179" s="1">
        <v>45748</v>
      </c>
      <c r="B179" s="21">
        <v>320.786</v>
      </c>
      <c r="C179">
        <f t="shared" si="2"/>
        <v>4.1036074810234871E-3</v>
      </c>
    </row>
    <row r="180" spans="1:3" x14ac:dyDescent="0.2">
      <c r="A180" s="1">
        <v>45839</v>
      </c>
      <c r="B180" s="21">
        <v>323.23500000000001</v>
      </c>
      <c r="C180">
        <f t="shared" si="2"/>
        <v>7.634373071144041E-3</v>
      </c>
    </row>
    <row r="181" spans="1:3" x14ac:dyDescent="0.2">
      <c r="A181" s="1"/>
      <c r="B181" s="21"/>
    </row>
    <row r="182" spans="1:3" x14ac:dyDescent="0.2">
      <c r="A182" s="2"/>
      <c r="B182" s="3"/>
    </row>
    <row r="183" spans="1:3" x14ac:dyDescent="0.2">
      <c r="A183" s="2"/>
      <c r="B183" s="3"/>
    </row>
    <row r="184" spans="1:3" x14ac:dyDescent="0.2">
      <c r="A184" s="2"/>
      <c r="B184" s="3"/>
    </row>
    <row r="185" spans="1:3" x14ac:dyDescent="0.2">
      <c r="A185" s="2"/>
      <c r="B185" s="3"/>
    </row>
    <row r="186" spans="1:3" x14ac:dyDescent="0.2">
      <c r="A186" s="2"/>
      <c r="B186" s="3"/>
    </row>
    <row r="187" spans="1:3" x14ac:dyDescent="0.2">
      <c r="A187" s="2"/>
      <c r="B187" s="3"/>
    </row>
    <row r="188" spans="1:3" x14ac:dyDescent="0.2">
      <c r="A188" s="2"/>
      <c r="B188" s="3"/>
    </row>
    <row r="189" spans="1:3" x14ac:dyDescent="0.2">
      <c r="A189" s="2"/>
      <c r="B189" s="3"/>
    </row>
    <row r="190" spans="1:3" x14ac:dyDescent="0.2">
      <c r="A190" s="2"/>
      <c r="B190" s="3"/>
    </row>
    <row r="191" spans="1:3" x14ac:dyDescent="0.2">
      <c r="A191" s="2"/>
      <c r="B191" s="3"/>
    </row>
    <row r="192" spans="1:3" x14ac:dyDescent="0.2">
      <c r="A192" s="2"/>
      <c r="B192" s="3"/>
    </row>
    <row r="193" spans="1:2" x14ac:dyDescent="0.2">
      <c r="A193" s="2"/>
      <c r="B193" s="3"/>
    </row>
    <row r="194" spans="1:2" x14ac:dyDescent="0.2">
      <c r="A194" s="2"/>
      <c r="B194" s="3"/>
    </row>
    <row r="195" spans="1:2" x14ac:dyDescent="0.2">
      <c r="A195" s="2"/>
      <c r="B195" s="3"/>
    </row>
    <row r="196" spans="1:2" x14ac:dyDescent="0.2">
      <c r="A196" s="2"/>
      <c r="B196" s="3"/>
    </row>
    <row r="197" spans="1:2" x14ac:dyDescent="0.2">
      <c r="A197" s="2"/>
      <c r="B197" s="3"/>
    </row>
    <row r="198" spans="1:2" x14ac:dyDescent="0.2">
      <c r="A198" s="2"/>
      <c r="B198" s="3"/>
    </row>
    <row r="199" spans="1:2" x14ac:dyDescent="0.2">
      <c r="A199" s="2"/>
      <c r="B199" s="3"/>
    </row>
    <row r="200" spans="1:2" x14ac:dyDescent="0.2">
      <c r="A200" s="2"/>
      <c r="B200" s="3"/>
    </row>
    <row r="201" spans="1:2" x14ac:dyDescent="0.2">
      <c r="A201" s="2"/>
      <c r="B201" s="3"/>
    </row>
    <row r="202" spans="1:2" x14ac:dyDescent="0.2">
      <c r="A202" s="2"/>
      <c r="B202" s="3"/>
    </row>
    <row r="203" spans="1:2" x14ac:dyDescent="0.2">
      <c r="A203" s="2"/>
      <c r="B203" s="3"/>
    </row>
    <row r="204" spans="1:2" x14ac:dyDescent="0.2">
      <c r="A204" s="2"/>
      <c r="B204" s="3"/>
    </row>
    <row r="205" spans="1:2" x14ac:dyDescent="0.2">
      <c r="A205" s="2"/>
      <c r="B205" s="3"/>
    </row>
    <row r="206" spans="1:2" x14ac:dyDescent="0.2">
      <c r="A206" s="2"/>
      <c r="B206" s="3"/>
    </row>
    <row r="207" spans="1:2" x14ac:dyDescent="0.2">
      <c r="A207" s="2"/>
      <c r="B207" s="3"/>
    </row>
    <row r="208" spans="1:2" x14ac:dyDescent="0.2">
      <c r="A208" s="2"/>
      <c r="B208" s="3"/>
    </row>
    <row r="209" spans="1:2" x14ac:dyDescent="0.2">
      <c r="A209" s="2"/>
      <c r="B209" s="3"/>
    </row>
    <row r="210" spans="1:2" x14ac:dyDescent="0.2">
      <c r="A210" s="2"/>
      <c r="B210" s="3"/>
    </row>
    <row r="211" spans="1:2" x14ac:dyDescent="0.2">
      <c r="A211" s="2"/>
      <c r="B211" s="3"/>
    </row>
    <row r="212" spans="1:2" x14ac:dyDescent="0.2">
      <c r="A212" s="2"/>
      <c r="B212" s="3"/>
    </row>
    <row r="213" spans="1:2" x14ac:dyDescent="0.2">
      <c r="A213" s="2"/>
      <c r="B213" s="3"/>
    </row>
    <row r="214" spans="1:2" x14ac:dyDescent="0.2">
      <c r="A214" s="2"/>
      <c r="B214" s="3"/>
    </row>
    <row r="215" spans="1:2" x14ac:dyDescent="0.2">
      <c r="A215" s="2"/>
      <c r="B215" s="3"/>
    </row>
    <row r="216" spans="1:2" x14ac:dyDescent="0.2">
      <c r="A216" s="2"/>
      <c r="B216" s="3"/>
    </row>
    <row r="217" spans="1:2" x14ac:dyDescent="0.2">
      <c r="A217" s="2"/>
      <c r="B217" s="3"/>
    </row>
    <row r="218" spans="1:2" x14ac:dyDescent="0.2">
      <c r="A218" s="2"/>
      <c r="B218" s="3"/>
    </row>
    <row r="219" spans="1:2" x14ac:dyDescent="0.2">
      <c r="A219" s="2"/>
      <c r="B219" s="3"/>
    </row>
    <row r="220" spans="1:2" x14ac:dyDescent="0.2">
      <c r="A220" s="2"/>
      <c r="B220" s="3"/>
    </row>
    <row r="221" spans="1:2" x14ac:dyDescent="0.2">
      <c r="A221" s="2"/>
      <c r="B221" s="3"/>
    </row>
    <row r="222" spans="1:2" x14ac:dyDescent="0.2">
      <c r="A222" s="2"/>
      <c r="B222" s="3"/>
    </row>
    <row r="223" spans="1:2" x14ac:dyDescent="0.2">
      <c r="A223" s="2"/>
      <c r="B223" s="3"/>
    </row>
    <row r="224" spans="1:2" x14ac:dyDescent="0.2">
      <c r="A224" s="2"/>
      <c r="B224" s="3"/>
    </row>
    <row r="225" spans="1:2" x14ac:dyDescent="0.2">
      <c r="A225" s="2"/>
      <c r="B225" s="3"/>
    </row>
    <row r="226" spans="1:2" x14ac:dyDescent="0.2">
      <c r="A226" s="2"/>
      <c r="B226" s="3"/>
    </row>
    <row r="227" spans="1:2" x14ac:dyDescent="0.2">
      <c r="A227" s="2"/>
      <c r="B227" s="3"/>
    </row>
    <row r="228" spans="1:2" x14ac:dyDescent="0.2">
      <c r="A228" s="2"/>
      <c r="B228" s="3"/>
    </row>
    <row r="229" spans="1:2" x14ac:dyDescent="0.2">
      <c r="A229" s="2"/>
      <c r="B229" s="3"/>
    </row>
    <row r="230" spans="1:2" x14ac:dyDescent="0.2">
      <c r="A230" s="2"/>
      <c r="B230" s="3"/>
    </row>
    <row r="231" spans="1:2" x14ac:dyDescent="0.2">
      <c r="A231" s="2"/>
      <c r="B231" s="3"/>
    </row>
    <row r="232" spans="1:2" x14ac:dyDescent="0.2">
      <c r="A232" s="2"/>
      <c r="B232" s="3"/>
    </row>
    <row r="233" spans="1:2" x14ac:dyDescent="0.2">
      <c r="A233" s="2"/>
      <c r="B233" s="3"/>
    </row>
    <row r="234" spans="1:2" x14ac:dyDescent="0.2">
      <c r="A234" s="2"/>
      <c r="B234" s="3"/>
    </row>
    <row r="235" spans="1:2" x14ac:dyDescent="0.2">
      <c r="A235" s="2"/>
      <c r="B235" s="3"/>
    </row>
    <row r="236" spans="1:2" x14ac:dyDescent="0.2">
      <c r="A236" s="2"/>
      <c r="B236" s="3"/>
    </row>
    <row r="237" spans="1:2" x14ac:dyDescent="0.2">
      <c r="A237" s="2"/>
      <c r="B237" s="3"/>
    </row>
    <row r="238" spans="1:2" x14ac:dyDescent="0.2">
      <c r="A238" s="2"/>
      <c r="B238" s="3"/>
    </row>
    <row r="239" spans="1:2" x14ac:dyDescent="0.2">
      <c r="A239" s="2"/>
      <c r="B239" s="3"/>
    </row>
    <row r="240" spans="1:2" x14ac:dyDescent="0.2">
      <c r="A240" s="2"/>
      <c r="B240" s="3"/>
    </row>
    <row r="241" spans="1:2" x14ac:dyDescent="0.2">
      <c r="A241" s="2"/>
      <c r="B241" s="3"/>
    </row>
    <row r="242" spans="1:2" x14ac:dyDescent="0.2">
      <c r="A242" s="2"/>
      <c r="B242" s="3"/>
    </row>
    <row r="243" spans="1:2" x14ac:dyDescent="0.2">
      <c r="A243" s="2"/>
      <c r="B243" s="3"/>
    </row>
    <row r="244" spans="1:2" x14ac:dyDescent="0.2">
      <c r="A244" s="2"/>
      <c r="B244" s="3"/>
    </row>
    <row r="245" spans="1:2" x14ac:dyDescent="0.2">
      <c r="A245" s="2"/>
      <c r="B245" s="3"/>
    </row>
    <row r="246" spans="1:2" x14ac:dyDescent="0.2">
      <c r="A246" s="2"/>
      <c r="B246" s="3"/>
    </row>
    <row r="247" spans="1:2" x14ac:dyDescent="0.2">
      <c r="A247" s="2"/>
      <c r="B247" s="3"/>
    </row>
    <row r="248" spans="1:2" x14ac:dyDescent="0.2">
      <c r="A248" s="2"/>
      <c r="B248" s="3"/>
    </row>
    <row r="249" spans="1:2" x14ac:dyDescent="0.2">
      <c r="A249" s="2"/>
      <c r="B249" s="3"/>
    </row>
    <row r="250" spans="1:2" x14ac:dyDescent="0.2">
      <c r="A250" s="2"/>
      <c r="B250" s="3"/>
    </row>
    <row r="251" spans="1:2" x14ac:dyDescent="0.2">
      <c r="A251" s="2"/>
      <c r="B251" s="3"/>
    </row>
    <row r="252" spans="1:2" x14ac:dyDescent="0.2">
      <c r="A252" s="2"/>
      <c r="B252" s="3"/>
    </row>
    <row r="253" spans="1:2" x14ac:dyDescent="0.2">
      <c r="A253" s="2"/>
      <c r="B253" s="3"/>
    </row>
    <row r="254" spans="1:2" x14ac:dyDescent="0.2">
      <c r="A254" s="2"/>
      <c r="B254" s="3"/>
    </row>
    <row r="255" spans="1:2" x14ac:dyDescent="0.2">
      <c r="A255" s="2"/>
      <c r="B255" s="3"/>
    </row>
    <row r="256" spans="1:2" x14ac:dyDescent="0.2">
      <c r="A256" s="2"/>
      <c r="B256" s="3"/>
    </row>
    <row r="257" spans="1:2" x14ac:dyDescent="0.2">
      <c r="A257" s="2"/>
      <c r="B257" s="3"/>
    </row>
    <row r="258" spans="1:2" x14ac:dyDescent="0.2">
      <c r="A258" s="2"/>
      <c r="B258" s="3"/>
    </row>
    <row r="259" spans="1:2" x14ac:dyDescent="0.2">
      <c r="A259" s="2"/>
      <c r="B259" s="3"/>
    </row>
    <row r="260" spans="1:2" x14ac:dyDescent="0.2">
      <c r="A260" s="2"/>
      <c r="B260" s="3"/>
    </row>
    <row r="261" spans="1:2" x14ac:dyDescent="0.2">
      <c r="A261" s="2"/>
      <c r="B261" s="3"/>
    </row>
    <row r="262" spans="1:2" x14ac:dyDescent="0.2">
      <c r="A262" s="2"/>
      <c r="B262" s="3"/>
    </row>
    <row r="263" spans="1:2" x14ac:dyDescent="0.2">
      <c r="A263" s="2"/>
      <c r="B263" s="3"/>
    </row>
    <row r="264" spans="1:2" x14ac:dyDescent="0.2">
      <c r="A264" s="2"/>
      <c r="B264" s="3"/>
    </row>
    <row r="265" spans="1:2" x14ac:dyDescent="0.2">
      <c r="A265" s="2"/>
      <c r="B265" s="3"/>
    </row>
    <row r="266" spans="1:2" x14ac:dyDescent="0.2">
      <c r="A266" s="2"/>
      <c r="B266" s="3"/>
    </row>
    <row r="267" spans="1:2" x14ac:dyDescent="0.2">
      <c r="A267" s="2"/>
      <c r="B267" s="3"/>
    </row>
    <row r="268" spans="1:2" x14ac:dyDescent="0.2">
      <c r="A268" s="2"/>
      <c r="B268" s="3"/>
    </row>
    <row r="269" spans="1:2" x14ac:dyDescent="0.2">
      <c r="A269" s="2"/>
      <c r="B269" s="3"/>
    </row>
    <row r="270" spans="1:2" x14ac:dyDescent="0.2">
      <c r="A270" s="2"/>
      <c r="B270" s="3"/>
    </row>
    <row r="271" spans="1:2" x14ac:dyDescent="0.2">
      <c r="A271" s="2"/>
      <c r="B271" s="3"/>
    </row>
    <row r="272" spans="1:2" x14ac:dyDescent="0.2">
      <c r="A272" s="2"/>
      <c r="B272" s="3"/>
    </row>
    <row r="273" spans="1:2" x14ac:dyDescent="0.2">
      <c r="A273" s="2"/>
      <c r="B273" s="3"/>
    </row>
    <row r="274" spans="1:2" x14ac:dyDescent="0.2">
      <c r="A274" s="2"/>
      <c r="B274" s="3"/>
    </row>
    <row r="275" spans="1:2" x14ac:dyDescent="0.2">
      <c r="A275" s="2"/>
      <c r="B275" s="3"/>
    </row>
    <row r="276" spans="1:2" x14ac:dyDescent="0.2">
      <c r="A276" s="2"/>
      <c r="B276" s="3"/>
    </row>
    <row r="277" spans="1:2" x14ac:dyDescent="0.2">
      <c r="A277" s="2"/>
      <c r="B277" s="3"/>
    </row>
    <row r="278" spans="1:2" x14ac:dyDescent="0.2">
      <c r="A278" s="2"/>
      <c r="B278" s="3"/>
    </row>
    <row r="279" spans="1:2" x14ac:dyDescent="0.2">
      <c r="A279" s="2"/>
      <c r="B279" s="3"/>
    </row>
    <row r="280" spans="1:2" x14ac:dyDescent="0.2">
      <c r="A280" s="2"/>
      <c r="B280" s="3"/>
    </row>
    <row r="281" spans="1:2" x14ac:dyDescent="0.2">
      <c r="A281" s="2"/>
      <c r="B281" s="3"/>
    </row>
    <row r="282" spans="1:2" x14ac:dyDescent="0.2">
      <c r="A282" s="2"/>
      <c r="B282" s="3"/>
    </row>
    <row r="283" spans="1:2" x14ac:dyDescent="0.2">
      <c r="A283" s="2"/>
      <c r="B283" s="3"/>
    </row>
    <row r="284" spans="1:2" x14ac:dyDescent="0.2">
      <c r="A284" s="2"/>
      <c r="B284" s="3"/>
    </row>
    <row r="285" spans="1:2" x14ac:dyDescent="0.2">
      <c r="A285" s="2"/>
      <c r="B285" s="3"/>
    </row>
    <row r="286" spans="1:2" x14ac:dyDescent="0.2">
      <c r="A286" s="2"/>
      <c r="B286" s="3"/>
    </row>
    <row r="287" spans="1:2" x14ac:dyDescent="0.2">
      <c r="A287" s="2"/>
      <c r="B287" s="3"/>
    </row>
    <row r="288" spans="1:2" x14ac:dyDescent="0.2">
      <c r="A288" s="2"/>
      <c r="B288" s="3"/>
    </row>
    <row r="289" spans="1:2" x14ac:dyDescent="0.2">
      <c r="A289" s="2"/>
      <c r="B289" s="3"/>
    </row>
    <row r="290" spans="1:2" x14ac:dyDescent="0.2">
      <c r="A290" s="2"/>
      <c r="B290" s="3"/>
    </row>
    <row r="291" spans="1:2" x14ac:dyDescent="0.2">
      <c r="A291" s="2"/>
      <c r="B291" s="3"/>
    </row>
    <row r="292" spans="1:2" x14ac:dyDescent="0.2">
      <c r="A292" s="2"/>
      <c r="B292" s="3"/>
    </row>
    <row r="293" spans="1:2" x14ac:dyDescent="0.2">
      <c r="A293" s="2"/>
      <c r="B293" s="3"/>
    </row>
    <row r="294" spans="1:2" x14ac:dyDescent="0.2">
      <c r="A294" s="2"/>
      <c r="B294" s="3"/>
    </row>
    <row r="295" spans="1:2" x14ac:dyDescent="0.2">
      <c r="A295" s="2"/>
      <c r="B295" s="3"/>
    </row>
    <row r="296" spans="1:2" x14ac:dyDescent="0.2">
      <c r="A296" s="2"/>
      <c r="B296" s="3"/>
    </row>
    <row r="297" spans="1:2" x14ac:dyDescent="0.2">
      <c r="A297" s="2"/>
      <c r="B297" s="3"/>
    </row>
    <row r="298" spans="1:2" x14ac:dyDescent="0.2">
      <c r="A298" s="2"/>
      <c r="B298" s="3"/>
    </row>
    <row r="299" spans="1:2" x14ac:dyDescent="0.2">
      <c r="A299" s="2"/>
      <c r="B299" s="3"/>
    </row>
    <row r="300" spans="1:2" x14ac:dyDescent="0.2">
      <c r="A300" s="2"/>
      <c r="B300" s="3"/>
    </row>
    <row r="301" spans="1:2" x14ac:dyDescent="0.2">
      <c r="A301" s="2"/>
      <c r="B301" s="3"/>
    </row>
    <row r="302" spans="1:2" x14ac:dyDescent="0.2">
      <c r="A302" s="2"/>
      <c r="B302" s="3"/>
    </row>
    <row r="303" spans="1:2" x14ac:dyDescent="0.2">
      <c r="A303" s="2"/>
      <c r="B303" s="3"/>
    </row>
    <row r="304" spans="1:2" x14ac:dyDescent="0.2">
      <c r="A304" s="2"/>
      <c r="B304" s="3"/>
    </row>
    <row r="305" spans="1:2" x14ac:dyDescent="0.2">
      <c r="A305" s="2"/>
      <c r="B305" s="3"/>
    </row>
    <row r="306" spans="1:2" x14ac:dyDescent="0.2">
      <c r="A306" s="2"/>
      <c r="B306" s="3"/>
    </row>
    <row r="307" spans="1:2" x14ac:dyDescent="0.2">
      <c r="A307" s="2"/>
      <c r="B307" s="3"/>
    </row>
    <row r="308" spans="1:2" x14ac:dyDescent="0.2">
      <c r="A308" s="2"/>
      <c r="B308" s="3"/>
    </row>
    <row r="309" spans="1:2" x14ac:dyDescent="0.2">
      <c r="A309" s="2"/>
      <c r="B309" s="3"/>
    </row>
    <row r="310" spans="1:2" x14ac:dyDescent="0.2">
      <c r="A310" s="2"/>
      <c r="B310" s="3"/>
    </row>
    <row r="311" spans="1:2" x14ac:dyDescent="0.2">
      <c r="A311" s="2"/>
      <c r="B311" s="3"/>
    </row>
    <row r="312" spans="1:2" x14ac:dyDescent="0.2">
      <c r="A312" s="2"/>
      <c r="B312" s="3"/>
    </row>
    <row r="313" spans="1:2" x14ac:dyDescent="0.2">
      <c r="A313" s="2"/>
      <c r="B313" s="3"/>
    </row>
    <row r="314" spans="1:2" x14ac:dyDescent="0.2">
      <c r="A314" s="2"/>
      <c r="B314" s="3"/>
    </row>
    <row r="315" spans="1:2" x14ac:dyDescent="0.2">
      <c r="A315" s="2"/>
      <c r="B315" s="3"/>
    </row>
    <row r="316" spans="1:2" x14ac:dyDescent="0.2">
      <c r="A316" s="2"/>
      <c r="B316" s="3"/>
    </row>
    <row r="317" spans="1:2" x14ac:dyDescent="0.2">
      <c r="A317" s="2"/>
      <c r="B317" s="3"/>
    </row>
    <row r="318" spans="1:2" x14ac:dyDescent="0.2">
      <c r="A318" s="2"/>
      <c r="B318" s="3"/>
    </row>
    <row r="319" spans="1:2" x14ac:dyDescent="0.2">
      <c r="A319" s="2"/>
      <c r="B319" s="3"/>
    </row>
    <row r="320" spans="1:2" x14ac:dyDescent="0.2">
      <c r="A320" s="2"/>
      <c r="B320" s="3"/>
    </row>
    <row r="321" spans="1:2" x14ac:dyDescent="0.2">
      <c r="A321" s="2"/>
      <c r="B321" s="3"/>
    </row>
    <row r="322" spans="1:2" x14ac:dyDescent="0.2">
      <c r="A322" s="2"/>
      <c r="B322" s="3"/>
    </row>
    <row r="323" spans="1:2" x14ac:dyDescent="0.2">
      <c r="A323" s="2"/>
      <c r="B323" s="3"/>
    </row>
    <row r="324" spans="1:2" x14ac:dyDescent="0.2">
      <c r="A324" s="2"/>
      <c r="B324" s="3"/>
    </row>
    <row r="325" spans="1:2" x14ac:dyDescent="0.2">
      <c r="A325" s="2"/>
      <c r="B325" s="3"/>
    </row>
    <row r="326" spans="1:2" x14ac:dyDescent="0.2">
      <c r="A326" s="2"/>
      <c r="B326" s="3"/>
    </row>
    <row r="327" spans="1:2" x14ac:dyDescent="0.2">
      <c r="A327" s="2"/>
      <c r="B327" s="3"/>
    </row>
    <row r="328" spans="1:2" x14ac:dyDescent="0.2">
      <c r="A328" s="2"/>
      <c r="B328" s="3"/>
    </row>
    <row r="329" spans="1:2" x14ac:dyDescent="0.2">
      <c r="A329" s="2"/>
      <c r="B329" s="3"/>
    </row>
    <row r="330" spans="1:2" x14ac:dyDescent="0.2">
      <c r="A330" s="2"/>
      <c r="B330" s="3"/>
    </row>
    <row r="331" spans="1:2" x14ac:dyDescent="0.2">
      <c r="A331" s="2"/>
      <c r="B331" s="3"/>
    </row>
    <row r="332" spans="1:2" x14ac:dyDescent="0.2">
      <c r="A332" s="2"/>
      <c r="B332" s="3"/>
    </row>
    <row r="333" spans="1:2" x14ac:dyDescent="0.2">
      <c r="A333" s="2"/>
      <c r="B333" s="3"/>
    </row>
    <row r="334" spans="1:2" x14ac:dyDescent="0.2">
      <c r="A334" s="2"/>
      <c r="B334" s="3"/>
    </row>
    <row r="335" spans="1:2" x14ac:dyDescent="0.2">
      <c r="A335" s="2"/>
      <c r="B335" s="3"/>
    </row>
    <row r="336" spans="1:2" x14ac:dyDescent="0.2">
      <c r="A336" s="2"/>
      <c r="B336" s="3"/>
    </row>
    <row r="337" spans="1:2" x14ac:dyDescent="0.2">
      <c r="A337" s="2"/>
      <c r="B337" s="3"/>
    </row>
    <row r="338" spans="1:2" x14ac:dyDescent="0.2">
      <c r="A338" s="2"/>
      <c r="B338" s="3"/>
    </row>
    <row r="339" spans="1:2" x14ac:dyDescent="0.2">
      <c r="A339" s="2"/>
      <c r="B339" s="3"/>
    </row>
    <row r="340" spans="1:2" x14ac:dyDescent="0.2">
      <c r="A340" s="2"/>
      <c r="B340" s="3"/>
    </row>
    <row r="341" spans="1:2" x14ac:dyDescent="0.2">
      <c r="A341" s="2"/>
      <c r="B341" s="3"/>
    </row>
    <row r="342" spans="1:2" x14ac:dyDescent="0.2">
      <c r="A342" s="2"/>
      <c r="B342" s="3"/>
    </row>
    <row r="343" spans="1:2" x14ac:dyDescent="0.2">
      <c r="A343" s="2"/>
      <c r="B343" s="3"/>
    </row>
    <row r="344" spans="1:2" x14ac:dyDescent="0.2">
      <c r="A344" s="2"/>
      <c r="B344" s="3"/>
    </row>
    <row r="345" spans="1:2" x14ac:dyDescent="0.2">
      <c r="A345" s="2"/>
      <c r="B345" s="3"/>
    </row>
    <row r="346" spans="1:2" x14ac:dyDescent="0.2">
      <c r="A346" s="2"/>
      <c r="B346" s="3"/>
    </row>
    <row r="347" spans="1:2" x14ac:dyDescent="0.2">
      <c r="A347" s="2"/>
      <c r="B347" s="3"/>
    </row>
    <row r="348" spans="1:2" x14ac:dyDescent="0.2">
      <c r="A348" s="2"/>
      <c r="B348" s="3"/>
    </row>
    <row r="349" spans="1:2" x14ac:dyDescent="0.2">
      <c r="A349" s="2"/>
      <c r="B349" s="3"/>
    </row>
    <row r="350" spans="1:2" x14ac:dyDescent="0.2">
      <c r="A350" s="2"/>
      <c r="B350" s="3"/>
    </row>
    <row r="351" spans="1:2" x14ac:dyDescent="0.2">
      <c r="A351" s="2"/>
      <c r="B351" s="3"/>
    </row>
    <row r="352" spans="1:2" x14ac:dyDescent="0.2">
      <c r="A352" s="2"/>
      <c r="B352" s="3"/>
    </row>
    <row r="353" spans="1:2" x14ac:dyDescent="0.2">
      <c r="A353" s="2"/>
      <c r="B353" s="3"/>
    </row>
    <row r="354" spans="1:2" x14ac:dyDescent="0.2">
      <c r="A354" s="2"/>
      <c r="B354" s="3"/>
    </row>
    <row r="355" spans="1:2" x14ac:dyDescent="0.2">
      <c r="A355" s="2"/>
      <c r="B355" s="3"/>
    </row>
    <row r="356" spans="1:2" x14ac:dyDescent="0.2">
      <c r="A356" s="2"/>
      <c r="B356" s="3"/>
    </row>
    <row r="357" spans="1:2" x14ac:dyDescent="0.2">
      <c r="A357" s="2"/>
      <c r="B357" s="3"/>
    </row>
    <row r="358" spans="1:2" x14ac:dyDescent="0.2">
      <c r="A358" s="2"/>
      <c r="B358" s="3"/>
    </row>
    <row r="359" spans="1:2" x14ac:dyDescent="0.2">
      <c r="A359" s="2"/>
      <c r="B359" s="3"/>
    </row>
    <row r="360" spans="1:2" x14ac:dyDescent="0.2">
      <c r="A360" s="2"/>
      <c r="B360" s="3"/>
    </row>
    <row r="361" spans="1:2" x14ac:dyDescent="0.2">
      <c r="A361" s="2"/>
      <c r="B361" s="3"/>
    </row>
    <row r="362" spans="1:2" x14ac:dyDescent="0.2">
      <c r="A362" s="2"/>
      <c r="B362" s="3"/>
    </row>
    <row r="363" spans="1:2" x14ac:dyDescent="0.2">
      <c r="A363" s="2"/>
      <c r="B363" s="3"/>
    </row>
    <row r="364" spans="1:2" x14ac:dyDescent="0.2">
      <c r="A364" s="2"/>
      <c r="B364" s="3"/>
    </row>
    <row r="365" spans="1:2" x14ac:dyDescent="0.2">
      <c r="A365" s="2"/>
      <c r="B365" s="3"/>
    </row>
    <row r="366" spans="1:2" x14ac:dyDescent="0.2">
      <c r="A366" s="2"/>
      <c r="B366" s="3"/>
    </row>
    <row r="367" spans="1:2" x14ac:dyDescent="0.2">
      <c r="A367" s="2"/>
      <c r="B367" s="3"/>
    </row>
    <row r="368" spans="1:2" x14ac:dyDescent="0.2">
      <c r="A368" s="2"/>
      <c r="B368" s="3"/>
    </row>
    <row r="369" spans="1:2" x14ac:dyDescent="0.2">
      <c r="A369" s="2"/>
      <c r="B369" s="3"/>
    </row>
    <row r="370" spans="1:2" x14ac:dyDescent="0.2">
      <c r="A370" s="2"/>
      <c r="B370" s="3"/>
    </row>
    <row r="371" spans="1:2" x14ac:dyDescent="0.2">
      <c r="A371" s="2"/>
      <c r="B371" s="3"/>
    </row>
    <row r="372" spans="1:2" x14ac:dyDescent="0.2">
      <c r="A372" s="2"/>
      <c r="B372" s="3"/>
    </row>
    <row r="373" spans="1:2" x14ac:dyDescent="0.2">
      <c r="A373" s="2"/>
      <c r="B373" s="3"/>
    </row>
    <row r="374" spans="1:2" x14ac:dyDescent="0.2">
      <c r="A374" s="2"/>
      <c r="B374" s="3"/>
    </row>
    <row r="375" spans="1:2" x14ac:dyDescent="0.2">
      <c r="A375" s="2"/>
      <c r="B375" s="3"/>
    </row>
    <row r="376" spans="1:2" x14ac:dyDescent="0.2">
      <c r="A376" s="2"/>
      <c r="B376" s="3"/>
    </row>
    <row r="377" spans="1:2" x14ac:dyDescent="0.2">
      <c r="A377" s="2"/>
      <c r="B377" s="3"/>
    </row>
    <row r="378" spans="1:2" x14ac:dyDescent="0.2">
      <c r="A378" s="2"/>
      <c r="B378" s="3"/>
    </row>
    <row r="379" spans="1:2" x14ac:dyDescent="0.2">
      <c r="A379" s="2"/>
      <c r="B379" s="3"/>
    </row>
    <row r="380" spans="1:2" x14ac:dyDescent="0.2">
      <c r="A380" s="2"/>
      <c r="B380" s="3"/>
    </row>
    <row r="381" spans="1:2" x14ac:dyDescent="0.2">
      <c r="A381" s="2"/>
      <c r="B381" s="3"/>
    </row>
    <row r="382" spans="1:2" x14ac:dyDescent="0.2">
      <c r="A382" s="2"/>
      <c r="B382" s="3"/>
    </row>
    <row r="383" spans="1:2" x14ac:dyDescent="0.2">
      <c r="A383" s="2"/>
      <c r="B383" s="3"/>
    </row>
    <row r="384" spans="1:2" x14ac:dyDescent="0.2">
      <c r="A384" s="2"/>
      <c r="B384" s="3"/>
    </row>
    <row r="385" spans="1:2" x14ac:dyDescent="0.2">
      <c r="A385" s="2"/>
      <c r="B385" s="3"/>
    </row>
    <row r="386" spans="1:2" x14ac:dyDescent="0.2">
      <c r="A386" s="2"/>
      <c r="B386" s="3"/>
    </row>
    <row r="387" spans="1:2" x14ac:dyDescent="0.2">
      <c r="A387" s="2"/>
      <c r="B387" s="3"/>
    </row>
    <row r="388" spans="1:2" x14ac:dyDescent="0.2">
      <c r="A388" s="2"/>
      <c r="B388" s="3"/>
    </row>
    <row r="389" spans="1:2" x14ac:dyDescent="0.2">
      <c r="A389" s="2"/>
      <c r="B389" s="3"/>
    </row>
    <row r="390" spans="1:2" x14ac:dyDescent="0.2">
      <c r="A390" s="2"/>
      <c r="B390" s="3"/>
    </row>
    <row r="391" spans="1:2" x14ac:dyDescent="0.2">
      <c r="A391" s="2"/>
      <c r="B391" s="3"/>
    </row>
    <row r="392" spans="1:2" x14ac:dyDescent="0.2">
      <c r="A392" s="2"/>
      <c r="B392" s="3"/>
    </row>
    <row r="393" spans="1:2" x14ac:dyDescent="0.2">
      <c r="A393" s="2"/>
      <c r="B393" s="3"/>
    </row>
    <row r="394" spans="1:2" x14ac:dyDescent="0.2">
      <c r="A394" s="2"/>
      <c r="B394" s="3"/>
    </row>
    <row r="395" spans="1:2" x14ac:dyDescent="0.2">
      <c r="A395" s="2"/>
      <c r="B395" s="3"/>
    </row>
    <row r="396" spans="1:2" x14ac:dyDescent="0.2">
      <c r="A396" s="2"/>
      <c r="B396" s="3"/>
    </row>
    <row r="397" spans="1:2" x14ac:dyDescent="0.2">
      <c r="A397" s="2"/>
      <c r="B397" s="3"/>
    </row>
    <row r="398" spans="1:2" x14ac:dyDescent="0.2">
      <c r="A398" s="2"/>
      <c r="B398" s="3"/>
    </row>
    <row r="399" spans="1:2" x14ac:dyDescent="0.2">
      <c r="A399" s="2"/>
      <c r="B399" s="3"/>
    </row>
    <row r="400" spans="1:2" x14ac:dyDescent="0.2">
      <c r="A400" s="2"/>
      <c r="B400" s="3"/>
    </row>
    <row r="401" spans="1:2" x14ac:dyDescent="0.2">
      <c r="A401" s="2"/>
      <c r="B401" s="3"/>
    </row>
    <row r="402" spans="1:2" x14ac:dyDescent="0.2">
      <c r="A402" s="2"/>
      <c r="B402" s="3"/>
    </row>
    <row r="403" spans="1:2" x14ac:dyDescent="0.2">
      <c r="A403" s="2"/>
      <c r="B403" s="3"/>
    </row>
    <row r="404" spans="1:2" x14ac:dyDescent="0.2">
      <c r="A404" s="2"/>
      <c r="B404" s="3"/>
    </row>
    <row r="405" spans="1:2" x14ac:dyDescent="0.2">
      <c r="A405" s="2"/>
      <c r="B405" s="3"/>
    </row>
    <row r="406" spans="1:2" x14ac:dyDescent="0.2">
      <c r="A406" s="2"/>
      <c r="B406" s="3"/>
    </row>
    <row r="407" spans="1:2" x14ac:dyDescent="0.2">
      <c r="A407" s="2"/>
      <c r="B407" s="3"/>
    </row>
    <row r="408" spans="1:2" x14ac:dyDescent="0.2">
      <c r="A408" s="2"/>
      <c r="B408" s="3"/>
    </row>
    <row r="409" spans="1:2" x14ac:dyDescent="0.2">
      <c r="A409" s="2"/>
      <c r="B409" s="3"/>
    </row>
    <row r="410" spans="1:2" x14ac:dyDescent="0.2">
      <c r="A410" s="2"/>
      <c r="B410" s="3"/>
    </row>
    <row r="411" spans="1:2" x14ac:dyDescent="0.2">
      <c r="A411" s="2"/>
      <c r="B411" s="3"/>
    </row>
    <row r="412" spans="1:2" x14ac:dyDescent="0.2">
      <c r="A412" s="2"/>
      <c r="B412" s="3"/>
    </row>
    <row r="413" spans="1:2" x14ac:dyDescent="0.2">
      <c r="A413" s="2"/>
      <c r="B413" s="3"/>
    </row>
    <row r="414" spans="1:2" x14ac:dyDescent="0.2">
      <c r="A414" s="2"/>
      <c r="B414" s="3"/>
    </row>
    <row r="415" spans="1:2" x14ac:dyDescent="0.2">
      <c r="A415" s="2"/>
      <c r="B415" s="3"/>
    </row>
    <row r="416" spans="1:2" x14ac:dyDescent="0.2">
      <c r="A416" s="2"/>
      <c r="B416" s="3"/>
    </row>
    <row r="417" spans="1:2" x14ac:dyDescent="0.2">
      <c r="A417" s="2"/>
      <c r="B417" s="3"/>
    </row>
    <row r="418" spans="1:2" x14ac:dyDescent="0.2">
      <c r="A418" s="2"/>
      <c r="B418" s="3"/>
    </row>
    <row r="419" spans="1:2" x14ac:dyDescent="0.2">
      <c r="A419" s="2"/>
      <c r="B419" s="3"/>
    </row>
    <row r="420" spans="1:2" x14ac:dyDescent="0.2">
      <c r="A420" s="2"/>
      <c r="B420" s="3"/>
    </row>
    <row r="421" spans="1:2" x14ac:dyDescent="0.2">
      <c r="A421" s="2"/>
      <c r="B421" s="3"/>
    </row>
    <row r="422" spans="1:2" x14ac:dyDescent="0.2">
      <c r="A422" s="2"/>
      <c r="B422" s="3"/>
    </row>
    <row r="423" spans="1:2" x14ac:dyDescent="0.2">
      <c r="A423" s="2"/>
      <c r="B423" s="3"/>
    </row>
    <row r="424" spans="1:2" x14ac:dyDescent="0.2">
      <c r="A424" s="2"/>
      <c r="B424" s="3"/>
    </row>
    <row r="425" spans="1:2" x14ac:dyDescent="0.2">
      <c r="A425" s="2"/>
      <c r="B425" s="3"/>
    </row>
    <row r="426" spans="1:2" x14ac:dyDescent="0.2">
      <c r="A426" s="2"/>
      <c r="B426" s="3"/>
    </row>
    <row r="427" spans="1:2" x14ac:dyDescent="0.2">
      <c r="A427" s="2"/>
      <c r="B427" s="3"/>
    </row>
    <row r="428" spans="1:2" x14ac:dyDescent="0.2">
      <c r="A428" s="2"/>
      <c r="B428" s="3"/>
    </row>
    <row r="429" spans="1:2" x14ac:dyDescent="0.2">
      <c r="A429" s="2"/>
      <c r="B429" s="3"/>
    </row>
    <row r="430" spans="1:2" x14ac:dyDescent="0.2">
      <c r="A430" s="2"/>
      <c r="B430" s="3"/>
    </row>
    <row r="431" spans="1:2" x14ac:dyDescent="0.2">
      <c r="A431" s="2"/>
      <c r="B431" s="3"/>
    </row>
    <row r="432" spans="1:2" x14ac:dyDescent="0.2">
      <c r="A432" s="2"/>
      <c r="B432" s="3"/>
    </row>
    <row r="433" spans="1:2" x14ac:dyDescent="0.2">
      <c r="A433" s="2"/>
      <c r="B433" s="3"/>
    </row>
    <row r="434" spans="1:2" x14ac:dyDescent="0.2">
      <c r="A434" s="2"/>
      <c r="B434" s="3"/>
    </row>
    <row r="435" spans="1:2" x14ac:dyDescent="0.2">
      <c r="A435" s="2"/>
      <c r="B435" s="3"/>
    </row>
    <row r="436" spans="1:2" x14ac:dyDescent="0.2">
      <c r="A436" s="2"/>
      <c r="B436" s="3"/>
    </row>
    <row r="437" spans="1:2" x14ac:dyDescent="0.2">
      <c r="A437" s="2"/>
      <c r="B437" s="3"/>
    </row>
    <row r="438" spans="1:2" x14ac:dyDescent="0.2">
      <c r="A438" s="2"/>
      <c r="B438" s="3"/>
    </row>
    <row r="439" spans="1:2" x14ac:dyDescent="0.2">
      <c r="A439" s="2"/>
      <c r="B439" s="3"/>
    </row>
    <row r="440" spans="1:2" x14ac:dyDescent="0.2">
      <c r="A440" s="2"/>
      <c r="B440" s="3"/>
    </row>
    <row r="441" spans="1:2" x14ac:dyDescent="0.2">
      <c r="A441" s="2"/>
      <c r="B441" s="3"/>
    </row>
    <row r="442" spans="1:2" x14ac:dyDescent="0.2">
      <c r="A442" s="2"/>
      <c r="B442" s="3"/>
    </row>
    <row r="443" spans="1:2" x14ac:dyDescent="0.2">
      <c r="A443" s="2"/>
      <c r="B443" s="3"/>
    </row>
    <row r="444" spans="1:2" x14ac:dyDescent="0.2">
      <c r="A444" s="2"/>
      <c r="B444" s="3"/>
    </row>
    <row r="445" spans="1:2" x14ac:dyDescent="0.2">
      <c r="A445" s="2"/>
      <c r="B445" s="3"/>
    </row>
    <row r="446" spans="1:2" x14ac:dyDescent="0.2">
      <c r="A446" s="2"/>
      <c r="B446" s="3"/>
    </row>
    <row r="447" spans="1:2" x14ac:dyDescent="0.2">
      <c r="A447" s="2"/>
      <c r="B447" s="3"/>
    </row>
    <row r="448" spans="1:2" x14ac:dyDescent="0.2">
      <c r="A448" s="2"/>
      <c r="B448" s="3"/>
    </row>
    <row r="449" spans="1:2" x14ac:dyDescent="0.2">
      <c r="A449" s="2"/>
      <c r="B449" s="3"/>
    </row>
    <row r="450" spans="1:2" x14ac:dyDescent="0.2">
      <c r="A450" s="2"/>
      <c r="B450" s="3"/>
    </row>
    <row r="451" spans="1:2" x14ac:dyDescent="0.2">
      <c r="A451" s="2"/>
      <c r="B451" s="3"/>
    </row>
    <row r="452" spans="1:2" x14ac:dyDescent="0.2">
      <c r="A452" s="2"/>
      <c r="B452" s="3"/>
    </row>
    <row r="453" spans="1:2" x14ac:dyDescent="0.2">
      <c r="A453" s="2"/>
      <c r="B453" s="3"/>
    </row>
    <row r="454" spans="1:2" x14ac:dyDescent="0.2">
      <c r="A454" s="2"/>
      <c r="B454" s="3"/>
    </row>
    <row r="455" spans="1:2" x14ac:dyDescent="0.2">
      <c r="A455" s="2"/>
      <c r="B455" s="3"/>
    </row>
    <row r="456" spans="1:2" x14ac:dyDescent="0.2">
      <c r="A456" s="2"/>
      <c r="B456" s="3"/>
    </row>
    <row r="457" spans="1:2" x14ac:dyDescent="0.2">
      <c r="A457" s="2"/>
      <c r="B457" s="3"/>
    </row>
    <row r="458" spans="1:2" x14ac:dyDescent="0.2">
      <c r="A458" s="2"/>
      <c r="B458" s="3"/>
    </row>
    <row r="459" spans="1:2" x14ac:dyDescent="0.2">
      <c r="A459" s="2"/>
      <c r="B459" s="3"/>
    </row>
    <row r="460" spans="1:2" x14ac:dyDescent="0.2">
      <c r="A460" s="2"/>
      <c r="B460" s="3"/>
    </row>
    <row r="461" spans="1:2" x14ac:dyDescent="0.2">
      <c r="A461" s="2"/>
      <c r="B461" s="3"/>
    </row>
    <row r="462" spans="1:2" x14ac:dyDescent="0.2">
      <c r="A462" s="2"/>
      <c r="B462" s="3"/>
    </row>
    <row r="463" spans="1:2" x14ac:dyDescent="0.2">
      <c r="A463" s="2"/>
      <c r="B463" s="3"/>
    </row>
    <row r="464" spans="1:2" x14ac:dyDescent="0.2">
      <c r="A464" s="2"/>
      <c r="B464" s="3"/>
    </row>
    <row r="465" spans="1:2" x14ac:dyDescent="0.2">
      <c r="A465" s="2"/>
      <c r="B465" s="3"/>
    </row>
    <row r="466" spans="1:2" x14ac:dyDescent="0.2">
      <c r="A466" s="2"/>
      <c r="B466" s="3"/>
    </row>
    <row r="467" spans="1:2" x14ac:dyDescent="0.2">
      <c r="A467" s="2"/>
      <c r="B467" s="3"/>
    </row>
    <row r="468" spans="1:2" x14ac:dyDescent="0.2">
      <c r="A468" s="2"/>
      <c r="B468" s="3"/>
    </row>
    <row r="469" spans="1:2" x14ac:dyDescent="0.2">
      <c r="A469" s="2"/>
      <c r="B469" s="3"/>
    </row>
    <row r="470" spans="1:2" x14ac:dyDescent="0.2">
      <c r="A470" s="2"/>
      <c r="B470" s="3"/>
    </row>
    <row r="471" spans="1:2" x14ac:dyDescent="0.2">
      <c r="A471" s="2"/>
      <c r="B471" s="3"/>
    </row>
    <row r="472" spans="1:2" x14ac:dyDescent="0.2">
      <c r="A472" s="2"/>
      <c r="B472" s="3"/>
    </row>
    <row r="473" spans="1:2" x14ac:dyDescent="0.2">
      <c r="A473" s="2"/>
      <c r="B473" s="3"/>
    </row>
    <row r="474" spans="1:2" x14ac:dyDescent="0.2">
      <c r="A474" s="2"/>
      <c r="B474" s="3"/>
    </row>
    <row r="475" spans="1:2" x14ac:dyDescent="0.2">
      <c r="A475" s="2"/>
      <c r="B475" s="3"/>
    </row>
    <row r="476" spans="1:2" x14ac:dyDescent="0.2">
      <c r="A476" s="2"/>
      <c r="B476" s="3"/>
    </row>
    <row r="477" spans="1:2" x14ac:dyDescent="0.2">
      <c r="A477" s="2"/>
      <c r="B477" s="3"/>
    </row>
    <row r="478" spans="1:2" x14ac:dyDescent="0.2">
      <c r="A478" s="2"/>
      <c r="B478" s="3"/>
    </row>
    <row r="479" spans="1:2" x14ac:dyDescent="0.2">
      <c r="A479" s="2"/>
      <c r="B479" s="3"/>
    </row>
    <row r="480" spans="1:2" x14ac:dyDescent="0.2">
      <c r="A480" s="2"/>
      <c r="B480" s="3"/>
    </row>
    <row r="481" spans="1:2" x14ac:dyDescent="0.2">
      <c r="A481" s="2"/>
      <c r="B481" s="3"/>
    </row>
    <row r="482" spans="1:2" x14ac:dyDescent="0.2">
      <c r="A482" s="2"/>
      <c r="B482" s="3"/>
    </row>
    <row r="483" spans="1:2" x14ac:dyDescent="0.2">
      <c r="A483" s="2"/>
      <c r="B483" s="3"/>
    </row>
    <row r="484" spans="1:2" x14ac:dyDescent="0.2">
      <c r="A484" s="2"/>
      <c r="B484" s="3"/>
    </row>
    <row r="485" spans="1:2" x14ac:dyDescent="0.2">
      <c r="A485" s="2"/>
      <c r="B485" s="3"/>
    </row>
    <row r="486" spans="1:2" x14ac:dyDescent="0.2">
      <c r="A486" s="2"/>
      <c r="B486" s="3"/>
    </row>
    <row r="487" spans="1:2" x14ac:dyDescent="0.2">
      <c r="A487" s="2"/>
      <c r="B487" s="3"/>
    </row>
    <row r="488" spans="1:2" x14ac:dyDescent="0.2">
      <c r="A488" s="2"/>
      <c r="B488" s="3"/>
    </row>
    <row r="489" spans="1:2" x14ac:dyDescent="0.2">
      <c r="A489" s="2"/>
      <c r="B489" s="3"/>
    </row>
    <row r="490" spans="1:2" x14ac:dyDescent="0.2">
      <c r="A490" s="2"/>
      <c r="B490" s="3"/>
    </row>
    <row r="491" spans="1:2" x14ac:dyDescent="0.2">
      <c r="A491" s="2"/>
      <c r="B491" s="3"/>
    </row>
    <row r="492" spans="1:2" x14ac:dyDescent="0.2">
      <c r="A492" s="2"/>
      <c r="B492" s="3"/>
    </row>
    <row r="493" spans="1:2" x14ac:dyDescent="0.2">
      <c r="A493" s="2"/>
      <c r="B493" s="3"/>
    </row>
    <row r="494" spans="1:2" x14ac:dyDescent="0.2">
      <c r="A494" s="2"/>
      <c r="B494" s="3"/>
    </row>
    <row r="495" spans="1:2" x14ac:dyDescent="0.2">
      <c r="A495" s="2"/>
      <c r="B495" s="3"/>
    </row>
    <row r="496" spans="1:2" x14ac:dyDescent="0.2">
      <c r="A496" s="2"/>
      <c r="B496" s="3"/>
    </row>
    <row r="497" spans="1:2" x14ac:dyDescent="0.2">
      <c r="A497" s="2"/>
      <c r="B497" s="3"/>
    </row>
    <row r="498" spans="1:2" x14ac:dyDescent="0.2">
      <c r="A498" s="2"/>
      <c r="B498" s="3"/>
    </row>
    <row r="499" spans="1:2" x14ac:dyDescent="0.2">
      <c r="A499" s="2"/>
      <c r="B499" s="3"/>
    </row>
    <row r="500" spans="1:2" x14ac:dyDescent="0.2">
      <c r="A500" s="2"/>
      <c r="B500" s="3"/>
    </row>
    <row r="501" spans="1:2" x14ac:dyDescent="0.2">
      <c r="A501" s="2"/>
      <c r="B501" s="3"/>
    </row>
    <row r="502" spans="1:2" x14ac:dyDescent="0.2">
      <c r="A502" s="2"/>
      <c r="B502" s="3"/>
    </row>
    <row r="503" spans="1:2" x14ac:dyDescent="0.2">
      <c r="A503" s="2"/>
      <c r="B503" s="3"/>
    </row>
    <row r="504" spans="1:2" x14ac:dyDescent="0.2">
      <c r="A504" s="2"/>
      <c r="B504" s="3"/>
    </row>
    <row r="505" spans="1:2" x14ac:dyDescent="0.2">
      <c r="A505" s="2"/>
      <c r="B505" s="3"/>
    </row>
    <row r="506" spans="1:2" x14ac:dyDescent="0.2">
      <c r="A506" s="2"/>
      <c r="B506" s="3"/>
    </row>
    <row r="507" spans="1:2" x14ac:dyDescent="0.2">
      <c r="A507" s="2"/>
      <c r="B507" s="3"/>
    </row>
    <row r="508" spans="1:2" x14ac:dyDescent="0.2">
      <c r="A508" s="2"/>
      <c r="B508" s="3"/>
    </row>
    <row r="509" spans="1:2" x14ac:dyDescent="0.2">
      <c r="A509" s="2"/>
      <c r="B509" s="3"/>
    </row>
    <row r="510" spans="1:2" x14ac:dyDescent="0.2">
      <c r="A510" s="2"/>
      <c r="B510" s="3"/>
    </row>
    <row r="511" spans="1:2" x14ac:dyDescent="0.2">
      <c r="A511" s="2"/>
      <c r="B511" s="3"/>
    </row>
    <row r="512" spans="1:2" x14ac:dyDescent="0.2">
      <c r="A512" s="2"/>
      <c r="B512" s="3"/>
    </row>
    <row r="513" spans="1:2" x14ac:dyDescent="0.2">
      <c r="A513" s="2"/>
      <c r="B513" s="3"/>
    </row>
    <row r="514" spans="1:2" x14ac:dyDescent="0.2">
      <c r="A514" s="2"/>
      <c r="B514" s="3"/>
    </row>
    <row r="515" spans="1:2" x14ac:dyDescent="0.2">
      <c r="A515" s="2"/>
      <c r="B515" s="3"/>
    </row>
    <row r="516" spans="1:2" x14ac:dyDescent="0.2">
      <c r="A516" s="2"/>
      <c r="B516" s="3"/>
    </row>
    <row r="517" spans="1:2" x14ac:dyDescent="0.2">
      <c r="A517" s="2"/>
      <c r="B517" s="3"/>
    </row>
    <row r="518" spans="1:2" x14ac:dyDescent="0.2">
      <c r="A518" s="2"/>
      <c r="B518" s="3"/>
    </row>
    <row r="519" spans="1:2" x14ac:dyDescent="0.2">
      <c r="A519" s="2"/>
      <c r="B519" s="3"/>
    </row>
    <row r="520" spans="1:2" x14ac:dyDescent="0.2">
      <c r="A520" s="2"/>
      <c r="B520" s="3"/>
    </row>
    <row r="521" spans="1:2" x14ac:dyDescent="0.2">
      <c r="A521" s="2"/>
      <c r="B521" s="3"/>
    </row>
    <row r="522" spans="1:2" x14ac:dyDescent="0.2">
      <c r="A522" s="2"/>
      <c r="B522" s="3"/>
    </row>
    <row r="523" spans="1:2" x14ac:dyDescent="0.2">
      <c r="A523" s="2"/>
      <c r="B523" s="3"/>
    </row>
    <row r="524" spans="1:2" x14ac:dyDescent="0.2">
      <c r="A524" s="2"/>
      <c r="B524" s="3"/>
    </row>
    <row r="525" spans="1:2" x14ac:dyDescent="0.2">
      <c r="A525" s="2"/>
      <c r="B525" s="3"/>
    </row>
    <row r="526" spans="1:2" x14ac:dyDescent="0.2">
      <c r="A526" s="2"/>
      <c r="B526" s="3"/>
    </row>
    <row r="527" spans="1:2" x14ac:dyDescent="0.2">
      <c r="A527" s="2"/>
      <c r="B527" s="3"/>
    </row>
    <row r="528" spans="1:2" x14ac:dyDescent="0.2">
      <c r="A528" s="2"/>
      <c r="B528" s="3"/>
    </row>
    <row r="529" spans="1:2" x14ac:dyDescent="0.2">
      <c r="A529" s="2"/>
      <c r="B529" s="3"/>
    </row>
    <row r="530" spans="1:2" x14ac:dyDescent="0.2">
      <c r="A530" s="2"/>
      <c r="B530" s="3"/>
    </row>
    <row r="531" spans="1:2" x14ac:dyDescent="0.2">
      <c r="A531" s="2"/>
      <c r="B53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9DDF-33A9-8449-B534-D7406BF1D2AD}">
  <dimension ref="A1:G177"/>
  <sheetViews>
    <sheetView showGridLines="0" topLeftCell="A167" workbookViewId="0">
      <selection activeCell="G211" sqref="G211"/>
    </sheetView>
  </sheetViews>
  <sheetFormatPr baseColWidth="10" defaultRowHeight="16" x14ac:dyDescent="0.2"/>
  <cols>
    <col min="2" max="2" width="16" bestFit="1" customWidth="1"/>
    <col min="3" max="3" width="16.33203125" bestFit="1" customWidth="1"/>
    <col min="5" max="5" width="23.5" bestFit="1" customWidth="1"/>
    <col min="7" max="7" width="12.1640625" customWidth="1"/>
  </cols>
  <sheetData>
    <row r="1" spans="1:7" x14ac:dyDescent="0.2">
      <c r="A1" s="15" t="s">
        <v>8</v>
      </c>
      <c r="B1" s="17" t="s">
        <v>9</v>
      </c>
      <c r="C1" s="20" t="s">
        <v>11</v>
      </c>
    </row>
    <row r="2" spans="1:7" x14ac:dyDescent="0.2">
      <c r="A2" s="16">
        <v>29952</v>
      </c>
      <c r="B2" s="18">
        <v>776.72799999999995</v>
      </c>
      <c r="C2" s="19">
        <f>B2/GDP!B2</f>
        <v>0.2372194134811022</v>
      </c>
      <c r="E2" s="13" t="s">
        <v>10</v>
      </c>
      <c r="F2" s="14">
        <f>AVERAGE(C3:C177)</f>
        <v>0.22969124820947967</v>
      </c>
      <c r="G2" t="s">
        <v>12</v>
      </c>
    </row>
    <row r="3" spans="1:7" x14ac:dyDescent="0.2">
      <c r="A3" s="16">
        <v>30042</v>
      </c>
      <c r="B3" s="18">
        <v>796.65300000000002</v>
      </c>
      <c r="C3" s="19">
        <f>B3/GDP!B3</f>
        <v>0.23909354580410638</v>
      </c>
    </row>
    <row r="4" spans="1:7" x14ac:dyDescent="0.2">
      <c r="A4" s="16">
        <v>30133</v>
      </c>
      <c r="B4" s="18">
        <v>822.7</v>
      </c>
      <c r="C4" s="19">
        <f>B4/GDP!B4</f>
        <v>0.24439135650124974</v>
      </c>
    </row>
    <row r="5" spans="1:7" x14ac:dyDescent="0.2">
      <c r="A5" s="16">
        <v>30225</v>
      </c>
      <c r="B5" s="18">
        <v>850.18299999999999</v>
      </c>
      <c r="C5" s="19">
        <f>B5/GDP!B5</f>
        <v>0.24986561592870779</v>
      </c>
    </row>
    <row r="6" spans="1:7" x14ac:dyDescent="0.2">
      <c r="A6" s="16">
        <v>30317</v>
      </c>
      <c r="B6" s="18">
        <v>866.85599999999999</v>
      </c>
      <c r="C6" s="19">
        <f>B6/GDP!B6</f>
        <v>0.2495689398294991</v>
      </c>
    </row>
    <row r="7" spans="1:7" x14ac:dyDescent="0.2">
      <c r="A7" s="16">
        <v>30407</v>
      </c>
      <c r="B7" s="18">
        <v>871.50099999999998</v>
      </c>
      <c r="C7" s="19">
        <f>B7/GDP!B7</f>
        <v>0.24351439345845366</v>
      </c>
    </row>
    <row r="8" spans="1:7" x14ac:dyDescent="0.2">
      <c r="A8" s="16">
        <v>30498</v>
      </c>
      <c r="B8" s="18">
        <v>896.64400000000001</v>
      </c>
      <c r="C8" s="19">
        <f>B8/GDP!B8</f>
        <v>0.24304703024710916</v>
      </c>
    </row>
    <row r="9" spans="1:7" x14ac:dyDescent="0.2">
      <c r="A9" s="16">
        <v>30590</v>
      </c>
      <c r="B9" s="18">
        <v>900.154</v>
      </c>
      <c r="C9" s="19">
        <f>B9/GDP!B9</f>
        <v>0.23721310689154837</v>
      </c>
    </row>
    <row r="10" spans="1:7" x14ac:dyDescent="0.2">
      <c r="A10" s="16">
        <v>30682</v>
      </c>
      <c r="B10" s="18">
        <v>913.47400000000005</v>
      </c>
      <c r="C10" s="19">
        <f>B10/GDP!B10</f>
        <v>0.2337413966132505</v>
      </c>
    </row>
    <row r="11" spans="1:7" x14ac:dyDescent="0.2">
      <c r="A11" s="16">
        <v>30773</v>
      </c>
      <c r="B11" s="18">
        <v>934.40700000000004</v>
      </c>
      <c r="C11" s="19">
        <f>B11/GDP!B11</f>
        <v>0.23304239000339436</v>
      </c>
    </row>
    <row r="12" spans="1:7" x14ac:dyDescent="0.2">
      <c r="A12" s="16">
        <v>30864</v>
      </c>
      <c r="B12" s="18">
        <v>950.60199999999998</v>
      </c>
      <c r="C12" s="19">
        <f>B12/GDP!B12</f>
        <v>0.23274824019097753</v>
      </c>
    </row>
    <row r="13" spans="1:7" x14ac:dyDescent="0.2">
      <c r="A13" s="16">
        <v>30956</v>
      </c>
      <c r="B13" s="18">
        <v>987.60699999999997</v>
      </c>
      <c r="C13" s="19">
        <f>B13/GDP!B13</f>
        <v>0.23806071083614494</v>
      </c>
    </row>
    <row r="14" spans="1:7" x14ac:dyDescent="0.2">
      <c r="A14" s="16">
        <v>31048</v>
      </c>
      <c r="B14" s="18">
        <v>1000.093</v>
      </c>
      <c r="C14" s="19">
        <f>B14/GDP!B14</f>
        <v>0.23641921550160658</v>
      </c>
    </row>
    <row r="15" spans="1:7" x14ac:dyDescent="0.2">
      <c r="A15" s="16">
        <v>31138</v>
      </c>
      <c r="B15" s="18">
        <v>1020.605</v>
      </c>
      <c r="C15" s="19">
        <f>B15/GDP!B15</f>
        <v>0.23763256169487115</v>
      </c>
    </row>
    <row r="16" spans="1:7" x14ac:dyDescent="0.2">
      <c r="A16" s="16">
        <v>31229</v>
      </c>
      <c r="B16" s="18">
        <v>1039.807</v>
      </c>
      <c r="C16" s="19">
        <f>B16/GDP!B16</f>
        <v>0.23703232421645706</v>
      </c>
    </row>
    <row r="17" spans="1:3" x14ac:dyDescent="0.2">
      <c r="A17" s="16">
        <v>31321</v>
      </c>
      <c r="B17" s="18">
        <v>1055.0630000000001</v>
      </c>
      <c r="C17" s="19">
        <f>B17/GDP!B17</f>
        <v>0.23740789461249021</v>
      </c>
    </row>
    <row r="18" spans="1:3" x14ac:dyDescent="0.2">
      <c r="A18" s="16">
        <v>31413</v>
      </c>
      <c r="B18" s="18">
        <v>1061.329</v>
      </c>
      <c r="C18" s="19">
        <f>B18/GDP!B18</f>
        <v>0.23543787853041795</v>
      </c>
    </row>
    <row r="19" spans="1:3" x14ac:dyDescent="0.2">
      <c r="A19" s="16">
        <v>31503</v>
      </c>
      <c r="B19" s="18">
        <v>1081.818</v>
      </c>
      <c r="C19" s="19">
        <f>B19/GDP!B19</f>
        <v>0.23800595775013531</v>
      </c>
    </row>
    <row r="20" spans="1:3" x14ac:dyDescent="0.2">
      <c r="A20" s="16">
        <v>31594</v>
      </c>
      <c r="B20" s="18">
        <v>1116.7619999999999</v>
      </c>
      <c r="C20" s="19">
        <f>B20/GDP!B20</f>
        <v>0.24237027442726464</v>
      </c>
    </row>
    <row r="21" spans="1:3" x14ac:dyDescent="0.2">
      <c r="A21" s="16">
        <v>31686</v>
      </c>
      <c r="B21" s="18">
        <v>1096.9069999999999</v>
      </c>
      <c r="C21" s="19">
        <f>B21/GDP!B21</f>
        <v>0.23550769522763412</v>
      </c>
    </row>
    <row r="22" spans="1:3" x14ac:dyDescent="0.2">
      <c r="A22" s="16">
        <v>31778</v>
      </c>
      <c r="B22" s="18">
        <v>1103.8599999999999</v>
      </c>
      <c r="C22" s="19">
        <f>B22/GDP!B22</f>
        <v>0.23376186640170293</v>
      </c>
    </row>
    <row r="23" spans="1:3" x14ac:dyDescent="0.2">
      <c r="A23" s="16">
        <v>31868</v>
      </c>
      <c r="B23" s="18">
        <v>1124.4280000000001</v>
      </c>
      <c r="C23" s="19">
        <f>B23/GDP!B23</f>
        <v>0.23395559032574864</v>
      </c>
    </row>
    <row r="24" spans="1:3" x14ac:dyDescent="0.2">
      <c r="A24" s="16">
        <v>31959</v>
      </c>
      <c r="B24" s="18">
        <v>1127.403</v>
      </c>
      <c r="C24" s="19">
        <f>B24/GDP!B24</f>
        <v>0.23080976670341513</v>
      </c>
    </row>
    <row r="25" spans="1:3" x14ac:dyDescent="0.2">
      <c r="A25" s="16">
        <v>32051</v>
      </c>
      <c r="B25" s="18">
        <v>1149.211</v>
      </c>
      <c r="C25" s="19">
        <f>B25/GDP!B25</f>
        <v>0.22947531486659131</v>
      </c>
    </row>
    <row r="26" spans="1:3" x14ac:dyDescent="0.2">
      <c r="A26" s="16">
        <v>32143</v>
      </c>
      <c r="B26" s="18">
        <v>1159.0319999999999</v>
      </c>
      <c r="C26" s="19">
        <f>B26/GDP!B26</f>
        <v>0.2284539749894153</v>
      </c>
    </row>
    <row r="27" spans="1:3" x14ac:dyDescent="0.2">
      <c r="A27" s="16">
        <v>32234</v>
      </c>
      <c r="B27" s="18">
        <v>1160.874</v>
      </c>
      <c r="C27" s="19">
        <f>B27/GDP!B27</f>
        <v>0.22367359301553977</v>
      </c>
    </row>
    <row r="28" spans="1:3" x14ac:dyDescent="0.2">
      <c r="A28" s="16">
        <v>32325</v>
      </c>
      <c r="B28" s="18">
        <v>1166.5619999999999</v>
      </c>
      <c r="C28" s="19">
        <f>B28/GDP!B28</f>
        <v>0.22082120679521505</v>
      </c>
    </row>
    <row r="29" spans="1:3" x14ac:dyDescent="0.2">
      <c r="A29" s="16">
        <v>32417</v>
      </c>
      <c r="B29" s="18">
        <v>1197.778</v>
      </c>
      <c r="C29" s="19">
        <f>B29/GDP!B29</f>
        <v>0.22183091092171528</v>
      </c>
    </row>
    <row r="30" spans="1:3" x14ac:dyDescent="0.2">
      <c r="A30" s="16">
        <v>32509</v>
      </c>
      <c r="B30" s="18">
        <v>1216.989</v>
      </c>
      <c r="C30" s="19">
        <f>B30/GDP!B30</f>
        <v>0.22081893173839054</v>
      </c>
    </row>
    <row r="31" spans="1:3" x14ac:dyDescent="0.2">
      <c r="A31" s="16">
        <v>32599</v>
      </c>
      <c r="B31" s="18">
        <v>1236.3230000000001</v>
      </c>
      <c r="C31" s="19">
        <f>B31/GDP!B31</f>
        <v>0.22028171945186992</v>
      </c>
    </row>
    <row r="32" spans="1:3" x14ac:dyDescent="0.2">
      <c r="A32" s="16">
        <v>32690</v>
      </c>
      <c r="B32" s="18">
        <v>1257.953</v>
      </c>
      <c r="C32" s="19">
        <f>B32/GDP!B32</f>
        <v>0.22087311348789762</v>
      </c>
    </row>
    <row r="33" spans="1:3" x14ac:dyDescent="0.2">
      <c r="A33" s="16">
        <v>32782</v>
      </c>
      <c r="B33" s="18">
        <v>1271.3810000000001</v>
      </c>
      <c r="C33" s="19">
        <f>B33/GDP!B33</f>
        <v>0.22121603824585623</v>
      </c>
    </row>
    <row r="34" spans="1:3" x14ac:dyDescent="0.2">
      <c r="A34" s="16">
        <v>32874</v>
      </c>
      <c r="B34" s="18">
        <v>1308.2049999999999</v>
      </c>
      <c r="C34" s="19">
        <f>B34/GDP!B34</f>
        <v>0.22276036188459108</v>
      </c>
    </row>
    <row r="35" spans="1:3" x14ac:dyDescent="0.2">
      <c r="A35" s="16">
        <v>32964</v>
      </c>
      <c r="B35" s="18">
        <v>1332.4490000000001</v>
      </c>
      <c r="C35" s="19">
        <f>B35/GDP!B35</f>
        <v>0.22356421815467981</v>
      </c>
    </row>
    <row r="36" spans="1:3" x14ac:dyDescent="0.2">
      <c r="A36" s="16">
        <v>33055</v>
      </c>
      <c r="B36" s="18">
        <v>1342.011</v>
      </c>
      <c r="C36" s="19">
        <f>B36/GDP!B36</f>
        <v>0.22310642055780802</v>
      </c>
    </row>
    <row r="37" spans="1:3" x14ac:dyDescent="0.2">
      <c r="A37" s="16">
        <v>33147</v>
      </c>
      <c r="B37" s="18">
        <v>1389.4949999999999</v>
      </c>
      <c r="C37" s="19">
        <f>B37/GDP!B37</f>
        <v>0.23139996399506854</v>
      </c>
    </row>
    <row r="38" spans="1:3" x14ac:dyDescent="0.2">
      <c r="A38" s="16">
        <v>33239</v>
      </c>
      <c r="B38" s="18">
        <v>1325.3720000000001</v>
      </c>
      <c r="C38" s="19">
        <f>B38/GDP!B38</f>
        <v>0.21960777296046613</v>
      </c>
    </row>
    <row r="39" spans="1:3" x14ac:dyDescent="0.2">
      <c r="A39" s="16">
        <v>33329</v>
      </c>
      <c r="B39" s="18">
        <v>1388.654</v>
      </c>
      <c r="C39" s="19">
        <f>B39/GDP!B39</f>
        <v>0.22665011877205657</v>
      </c>
    </row>
    <row r="40" spans="1:3" x14ac:dyDescent="0.2">
      <c r="A40" s="16">
        <v>33420</v>
      </c>
      <c r="B40" s="18">
        <v>1438.653</v>
      </c>
      <c r="C40" s="19">
        <f>B40/GDP!B40</f>
        <v>0.23181882123521397</v>
      </c>
    </row>
    <row r="41" spans="1:3" x14ac:dyDescent="0.2">
      <c r="A41" s="16">
        <v>33512</v>
      </c>
      <c r="B41" s="18">
        <v>1445.6780000000001</v>
      </c>
      <c r="C41" s="19">
        <f>B41/GDP!B41</f>
        <v>0.23077161291970363</v>
      </c>
    </row>
    <row r="42" spans="1:3" x14ac:dyDescent="0.2">
      <c r="A42" s="16">
        <v>33604</v>
      </c>
      <c r="B42" s="18">
        <v>1493.079</v>
      </c>
      <c r="C42" s="19">
        <f>B42/GDP!B42</f>
        <v>0.23464640359371891</v>
      </c>
    </row>
    <row r="43" spans="1:3" x14ac:dyDescent="0.2">
      <c r="A43" s="16">
        <v>33695</v>
      </c>
      <c r="B43" s="18">
        <v>1513.1669999999999</v>
      </c>
      <c r="C43" s="19">
        <f>B43/GDP!B43</f>
        <v>0.23384676582962471</v>
      </c>
    </row>
    <row r="44" spans="1:3" x14ac:dyDescent="0.2">
      <c r="A44" s="16">
        <v>33786</v>
      </c>
      <c r="B44" s="18">
        <v>1534.8689999999999</v>
      </c>
      <c r="C44" s="19">
        <f>B44/GDP!B44</f>
        <v>0.23373730953161595</v>
      </c>
    </row>
    <row r="45" spans="1:3" x14ac:dyDescent="0.2">
      <c r="A45" s="16">
        <v>33878</v>
      </c>
      <c r="B45" s="18">
        <v>1558.0250000000001</v>
      </c>
      <c r="C45" s="19">
        <f>B45/GDP!B45</f>
        <v>0.23320924146393782</v>
      </c>
    </row>
    <row r="46" spans="1:3" x14ac:dyDescent="0.2">
      <c r="A46" s="16">
        <v>33970</v>
      </c>
      <c r="B46" s="18">
        <v>1553.356</v>
      </c>
      <c r="C46" s="19">
        <f>B46/GDP!B46</f>
        <v>0.23082925388207284</v>
      </c>
    </row>
    <row r="47" spans="1:3" x14ac:dyDescent="0.2">
      <c r="A47" s="16">
        <v>34060</v>
      </c>
      <c r="B47" s="18">
        <v>1560.3230000000001</v>
      </c>
      <c r="C47" s="19">
        <f>B47/GDP!B47</f>
        <v>0.2291580230047589</v>
      </c>
    </row>
    <row r="48" spans="1:3" x14ac:dyDescent="0.2">
      <c r="A48" s="16">
        <v>34151</v>
      </c>
      <c r="B48" s="18">
        <v>1577.4849999999999</v>
      </c>
      <c r="C48" s="19">
        <f>B48/GDP!B48</f>
        <v>0.22921571299914648</v>
      </c>
    </row>
    <row r="49" spans="1:3" x14ac:dyDescent="0.2">
      <c r="A49" s="16">
        <v>34243</v>
      </c>
      <c r="B49" s="18">
        <v>1599.575</v>
      </c>
      <c r="C49" s="19">
        <f>B49/GDP!B49</f>
        <v>0.22806312411441659</v>
      </c>
    </row>
    <row r="50" spans="1:3" x14ac:dyDescent="0.2">
      <c r="A50" s="16">
        <v>34335</v>
      </c>
      <c r="B50" s="18">
        <v>1569.2429999999999</v>
      </c>
      <c r="C50" s="19">
        <f>B50/GDP!B50</f>
        <v>0.22053397215040871</v>
      </c>
    </row>
    <row r="51" spans="1:3" x14ac:dyDescent="0.2">
      <c r="A51" s="16">
        <v>34425</v>
      </c>
      <c r="B51" s="18">
        <v>1588.7059999999999</v>
      </c>
      <c r="C51" s="19">
        <f>B51/GDP!B51</f>
        <v>0.21922466213628913</v>
      </c>
    </row>
    <row r="52" spans="1:3" x14ac:dyDescent="0.2">
      <c r="A52" s="16">
        <v>34516</v>
      </c>
      <c r="B52" s="18">
        <v>1623.2819999999999</v>
      </c>
      <c r="C52" s="19">
        <f>B52/GDP!B52</f>
        <v>0.22142482514501624</v>
      </c>
    </row>
    <row r="53" spans="1:3" x14ac:dyDescent="0.2">
      <c r="A53" s="16">
        <v>34608</v>
      </c>
      <c r="B53" s="18">
        <v>1643.25</v>
      </c>
      <c r="C53" s="19">
        <f>B53/GDP!B53</f>
        <v>0.22041402022296122</v>
      </c>
    </row>
    <row r="54" spans="1:3" x14ac:dyDescent="0.2">
      <c r="A54" s="16">
        <v>34700</v>
      </c>
      <c r="B54" s="18">
        <v>1667.2909999999999</v>
      </c>
      <c r="C54" s="19">
        <f>B54/GDP!B54</f>
        <v>0.22164676204277714</v>
      </c>
    </row>
    <row r="55" spans="1:3" x14ac:dyDescent="0.2">
      <c r="A55" s="16">
        <v>34790</v>
      </c>
      <c r="B55" s="18">
        <v>1680.556</v>
      </c>
      <c r="C55" s="19">
        <f>B55/GDP!B55</f>
        <v>0.2216800771719076</v>
      </c>
    </row>
    <row r="56" spans="1:3" x14ac:dyDescent="0.2">
      <c r="A56" s="16">
        <v>34881</v>
      </c>
      <c r="B56" s="18">
        <v>1664.223</v>
      </c>
      <c r="C56" s="19">
        <f>B56/GDP!B56</f>
        <v>0.21660756528105427</v>
      </c>
    </row>
    <row r="57" spans="1:3" x14ac:dyDescent="0.2">
      <c r="A57" s="16">
        <v>34973</v>
      </c>
      <c r="B57" s="18">
        <v>1682.7</v>
      </c>
      <c r="C57" s="19">
        <f>B57/GDP!B57</f>
        <v>0.21649165412901189</v>
      </c>
    </row>
    <row r="58" spans="1:3" x14ac:dyDescent="0.2">
      <c r="A58" s="16">
        <v>35065</v>
      </c>
      <c r="B58" s="18">
        <v>1731.116</v>
      </c>
      <c r="C58" s="19">
        <f>B58/GDP!B58</f>
        <v>0.22000674082934568</v>
      </c>
    </row>
    <row r="59" spans="1:3" x14ac:dyDescent="0.2">
      <c r="A59" s="16">
        <v>35156</v>
      </c>
      <c r="B59" s="18">
        <v>1737.194</v>
      </c>
      <c r="C59" s="19">
        <f>B59/GDP!B59</f>
        <v>0.21626149655663501</v>
      </c>
    </row>
    <row r="60" spans="1:3" x14ac:dyDescent="0.2">
      <c r="A60" s="16">
        <v>35247</v>
      </c>
      <c r="B60" s="18">
        <v>1735.7729999999999</v>
      </c>
      <c r="C60" s="19">
        <f>B60/GDP!B60</f>
        <v>0.21346524488747826</v>
      </c>
    </row>
    <row r="61" spans="1:3" x14ac:dyDescent="0.2">
      <c r="A61" s="16">
        <v>35339</v>
      </c>
      <c r="B61" s="18">
        <v>1737.9090000000001</v>
      </c>
      <c r="C61" s="19">
        <f>B61/GDP!B61</f>
        <v>0.21040643862886754</v>
      </c>
    </row>
    <row r="62" spans="1:3" x14ac:dyDescent="0.2">
      <c r="A62" s="16">
        <v>35431</v>
      </c>
      <c r="B62" s="18">
        <v>1751.0509999999999</v>
      </c>
      <c r="C62" s="19">
        <f>B62/GDP!B62</f>
        <v>0.20938936258879504</v>
      </c>
    </row>
    <row r="63" spans="1:3" x14ac:dyDescent="0.2">
      <c r="A63" s="16">
        <v>35521</v>
      </c>
      <c r="B63" s="18">
        <v>1745.817</v>
      </c>
      <c r="C63" s="19">
        <f>B63/GDP!B63</f>
        <v>0.20493636152873193</v>
      </c>
    </row>
    <row r="64" spans="1:3" x14ac:dyDescent="0.2">
      <c r="A64" s="16">
        <v>35612</v>
      </c>
      <c r="B64" s="18">
        <v>1776.0060000000001</v>
      </c>
      <c r="C64" s="19">
        <f>B64/GDP!B64</f>
        <v>0.20501469324722438</v>
      </c>
    </row>
    <row r="65" spans="1:3" x14ac:dyDescent="0.2">
      <c r="A65" s="16">
        <v>35704</v>
      </c>
      <c r="B65" s="18">
        <v>1803.8420000000001</v>
      </c>
      <c r="C65" s="19">
        <f>B65/GDP!B65</f>
        <v>0.20577927646277794</v>
      </c>
    </row>
    <row r="66" spans="1:3" x14ac:dyDescent="0.2">
      <c r="A66" s="16">
        <v>35796</v>
      </c>
      <c r="B66" s="18">
        <v>1783.2909999999999</v>
      </c>
      <c r="C66" s="19">
        <f>B66/GDP!B66</f>
        <v>0.20112727937129504</v>
      </c>
    </row>
    <row r="67" spans="1:3" x14ac:dyDescent="0.2">
      <c r="A67" s="16">
        <v>35886</v>
      </c>
      <c r="B67" s="18">
        <v>1789.6289999999999</v>
      </c>
      <c r="C67" s="19">
        <f>B67/GDP!B67</f>
        <v>0.19951940416283756</v>
      </c>
    </row>
    <row r="68" spans="1:3" x14ac:dyDescent="0.2">
      <c r="A68" s="16">
        <v>35977</v>
      </c>
      <c r="B68" s="18">
        <v>1806.229</v>
      </c>
      <c r="C68" s="19">
        <f>B68/GDP!B68</f>
        <v>0.19802760567067756</v>
      </c>
    </row>
    <row r="69" spans="1:3" x14ac:dyDescent="0.2">
      <c r="A69" s="16">
        <v>36069</v>
      </c>
      <c r="B69" s="18">
        <v>1835.2809999999999</v>
      </c>
      <c r="C69" s="19">
        <f>B69/GDP!B69</f>
        <v>0.19746963387418817</v>
      </c>
    </row>
    <row r="70" spans="1:3" x14ac:dyDescent="0.2">
      <c r="A70" s="16">
        <v>36161</v>
      </c>
      <c r="B70" s="18">
        <v>1834.604</v>
      </c>
      <c r="C70" s="19">
        <f>B70/GDP!B70</f>
        <v>0.19492838793320896</v>
      </c>
    </row>
    <row r="71" spans="1:3" x14ac:dyDescent="0.2">
      <c r="A71" s="16">
        <v>36251</v>
      </c>
      <c r="B71" s="18">
        <v>1846.037</v>
      </c>
      <c r="C71" s="19">
        <f>B71/GDP!B71</f>
        <v>0.19378504148029491</v>
      </c>
    </row>
    <row r="72" spans="1:3" x14ac:dyDescent="0.2">
      <c r="A72" s="16">
        <v>36342</v>
      </c>
      <c r="B72" s="18">
        <v>1873.1969999999999</v>
      </c>
      <c r="C72" s="19">
        <f>B72/GDP!B72</f>
        <v>0.19337971756109917</v>
      </c>
    </row>
    <row r="73" spans="1:3" x14ac:dyDescent="0.2">
      <c r="A73" s="16">
        <v>36434</v>
      </c>
      <c r="B73" s="18">
        <v>1930.7370000000001</v>
      </c>
      <c r="C73" s="19">
        <f>B73/GDP!B73</f>
        <v>0.19502061025422901</v>
      </c>
    </row>
    <row r="74" spans="1:3" x14ac:dyDescent="0.2">
      <c r="A74" s="16">
        <v>36526</v>
      </c>
      <c r="B74" s="18">
        <v>1898.8019999999999</v>
      </c>
      <c r="C74" s="19">
        <f>B74/GDP!B74</f>
        <v>0.18983883411804567</v>
      </c>
    </row>
    <row r="75" spans="1:3" x14ac:dyDescent="0.2">
      <c r="A75" s="16">
        <v>36617</v>
      </c>
      <c r="B75" s="18">
        <v>1940.16</v>
      </c>
      <c r="C75" s="19">
        <f>B75/GDP!B75</f>
        <v>0.18932601593330031</v>
      </c>
    </row>
    <row r="76" spans="1:3" x14ac:dyDescent="0.2">
      <c r="A76" s="16">
        <v>36708</v>
      </c>
      <c r="B76" s="18">
        <v>1949.4659999999999</v>
      </c>
      <c r="C76" s="19">
        <f>B76/GDP!B76</f>
        <v>0.18893533879328347</v>
      </c>
    </row>
    <row r="77" spans="1:3" x14ac:dyDescent="0.2">
      <c r="A77" s="16">
        <v>36800</v>
      </c>
      <c r="B77" s="18">
        <v>1983.433</v>
      </c>
      <c r="C77" s="19">
        <f>B77/GDP!B77</f>
        <v>0.19006148483519716</v>
      </c>
    </row>
    <row r="78" spans="1:3" x14ac:dyDescent="0.2">
      <c r="A78" s="16">
        <v>36892</v>
      </c>
      <c r="B78" s="18">
        <v>2014.5309999999999</v>
      </c>
      <c r="C78" s="19">
        <f>B78/GDP!B78</f>
        <v>0.19240559257957154</v>
      </c>
    </row>
    <row r="79" spans="1:3" x14ac:dyDescent="0.2">
      <c r="A79" s="16">
        <v>36982</v>
      </c>
      <c r="B79" s="18">
        <v>2045.8340000000001</v>
      </c>
      <c r="C79" s="19">
        <f>B79/GDP!B79</f>
        <v>0.19302141711482215</v>
      </c>
    </row>
    <row r="80" spans="1:3" x14ac:dyDescent="0.2">
      <c r="A80" s="16">
        <v>37073</v>
      </c>
      <c r="B80" s="18">
        <v>2081.232</v>
      </c>
      <c r="C80" s="19">
        <f>B80/GDP!B80</f>
        <v>0.1963793236849902</v>
      </c>
    </row>
    <row r="81" spans="1:3" x14ac:dyDescent="0.2">
      <c r="A81" s="16">
        <v>37165</v>
      </c>
      <c r="B81" s="18">
        <v>2093.7600000000002</v>
      </c>
      <c r="C81" s="19">
        <f>B81/GDP!B81</f>
        <v>0.19640419062395498</v>
      </c>
    </row>
    <row r="82" spans="1:3" x14ac:dyDescent="0.2">
      <c r="A82" s="16">
        <v>37257</v>
      </c>
      <c r="B82" s="18">
        <v>2159.2739999999999</v>
      </c>
      <c r="C82" s="19">
        <f>B82/GDP!B82</f>
        <v>0.2002386980108499</v>
      </c>
    </row>
    <row r="83" spans="1:3" x14ac:dyDescent="0.2">
      <c r="A83" s="16">
        <v>37347</v>
      </c>
      <c r="B83" s="18">
        <v>2191.203</v>
      </c>
      <c r="C83" s="19">
        <f>B83/GDP!B83</f>
        <v>0.2012593387254695</v>
      </c>
    </row>
    <row r="84" spans="1:3" x14ac:dyDescent="0.2">
      <c r="A84" s="16">
        <v>37438</v>
      </c>
      <c r="B84" s="18">
        <v>2210.2280000000001</v>
      </c>
      <c r="C84" s="19">
        <f>B84/GDP!B84</f>
        <v>0.20122177268109001</v>
      </c>
    </row>
    <row r="85" spans="1:3" x14ac:dyDescent="0.2">
      <c r="A85" s="16">
        <v>37530</v>
      </c>
      <c r="B85" s="18">
        <v>2267.7849999999999</v>
      </c>
      <c r="C85" s="19">
        <f>B85/GDP!B85</f>
        <v>0.20501728844716591</v>
      </c>
    </row>
    <row r="86" spans="1:3" x14ac:dyDescent="0.2">
      <c r="A86" s="16">
        <v>37622</v>
      </c>
      <c r="B86" s="18">
        <v>2305.337</v>
      </c>
      <c r="C86" s="19">
        <f>B86/GDP!B86</f>
        <v>0.20631021889938803</v>
      </c>
    </row>
    <row r="87" spans="1:3" x14ac:dyDescent="0.2">
      <c r="A87" s="16">
        <v>37712</v>
      </c>
      <c r="B87" s="18">
        <v>2397.308</v>
      </c>
      <c r="C87" s="19">
        <f>B87/GDP!B87</f>
        <v>0.21191174642876906</v>
      </c>
    </row>
    <row r="88" spans="1:3" x14ac:dyDescent="0.2">
      <c r="A88" s="16">
        <v>37803</v>
      </c>
      <c r="B88" s="18">
        <v>2403.7370000000001</v>
      </c>
      <c r="C88" s="19">
        <f>B88/GDP!B88</f>
        <v>0.20781583704003287</v>
      </c>
    </row>
    <row r="89" spans="1:3" x14ac:dyDescent="0.2">
      <c r="A89" s="16">
        <v>37895</v>
      </c>
      <c r="B89" s="18">
        <v>2434.9540000000002</v>
      </c>
      <c r="C89" s="19">
        <f>B89/GDP!B89</f>
        <v>0.20683873596124577</v>
      </c>
    </row>
    <row r="90" spans="1:3" x14ac:dyDescent="0.2">
      <c r="A90" s="16">
        <v>37987</v>
      </c>
      <c r="B90" s="18">
        <v>2479.6439999999998</v>
      </c>
      <c r="C90" s="19">
        <f>B90/GDP!B90</f>
        <v>0.20796368701097928</v>
      </c>
    </row>
    <row r="91" spans="1:3" x14ac:dyDescent="0.2">
      <c r="A91" s="16">
        <v>38078</v>
      </c>
      <c r="B91" s="18">
        <v>2491.672</v>
      </c>
      <c r="C91" s="19">
        <f>B91/GDP!B91</f>
        <v>0.20570544501835453</v>
      </c>
    </row>
    <row r="92" spans="1:3" x14ac:dyDescent="0.2">
      <c r="A92" s="16">
        <v>38169</v>
      </c>
      <c r="B92" s="18">
        <v>2533.7179999999998</v>
      </c>
      <c r="C92" s="19">
        <f>B92/GDP!B92</f>
        <v>0.20590449307766151</v>
      </c>
    </row>
    <row r="93" spans="1:3" x14ac:dyDescent="0.2">
      <c r="A93" s="16">
        <v>38261</v>
      </c>
      <c r="B93" s="18">
        <v>2575.8829999999998</v>
      </c>
      <c r="C93" s="19">
        <f>B93/GDP!B93</f>
        <v>0.20562297411060432</v>
      </c>
    </row>
    <row r="94" spans="1:3" x14ac:dyDescent="0.2">
      <c r="A94" s="16">
        <v>38353</v>
      </c>
      <c r="B94" s="18">
        <v>2667.3989999999999</v>
      </c>
      <c r="C94" s="19">
        <f>B94/GDP!B94</f>
        <v>0.20892451222601263</v>
      </c>
    </row>
    <row r="95" spans="1:3" x14ac:dyDescent="0.2">
      <c r="A95" s="16">
        <v>38443</v>
      </c>
      <c r="B95" s="18">
        <v>2683.9560000000001</v>
      </c>
      <c r="C95" s="19">
        <f>B95/GDP!B95</f>
        <v>0.20769383631352564</v>
      </c>
    </row>
    <row r="96" spans="1:3" x14ac:dyDescent="0.2">
      <c r="A96" s="16">
        <v>38534</v>
      </c>
      <c r="B96" s="18">
        <v>2787.7959999999998</v>
      </c>
      <c r="C96" s="19">
        <f>B96/GDP!B96</f>
        <v>0.2121183853292207</v>
      </c>
    </row>
    <row r="97" spans="1:3" x14ac:dyDescent="0.2">
      <c r="A97" s="16">
        <v>38626</v>
      </c>
      <c r="B97" s="18">
        <v>2763.4470000000001</v>
      </c>
      <c r="C97" s="19">
        <f>B97/GDP!B97</f>
        <v>0.20740053214435925</v>
      </c>
    </row>
    <row r="98" spans="1:3" x14ac:dyDescent="0.2">
      <c r="A98" s="16">
        <v>38718</v>
      </c>
      <c r="B98" s="18">
        <v>2842.0740000000001</v>
      </c>
      <c r="C98" s="19">
        <f>B98/GDP!B98</f>
        <v>0.20898893755202527</v>
      </c>
    </row>
    <row r="99" spans="1:3" x14ac:dyDescent="0.2">
      <c r="A99" s="16">
        <v>38808</v>
      </c>
      <c r="B99" s="18">
        <v>2861.114</v>
      </c>
      <c r="C99" s="19">
        <f>B99/GDP!B99</f>
        <v>0.20802921512490272</v>
      </c>
    </row>
    <row r="100" spans="1:3" x14ac:dyDescent="0.2">
      <c r="A100" s="16">
        <v>38899</v>
      </c>
      <c r="B100" s="18">
        <v>2878.7640000000001</v>
      </c>
      <c r="C100" s="19">
        <f>B100/GDP!B100</f>
        <v>0.20755046723231149</v>
      </c>
    </row>
    <row r="101" spans="1:3" x14ac:dyDescent="0.2">
      <c r="A101" s="16">
        <v>38991</v>
      </c>
      <c r="B101" s="18">
        <v>2848.1619999999998</v>
      </c>
      <c r="C101" s="19">
        <f>B101/GDP!B101</f>
        <v>0.20286689896264554</v>
      </c>
    </row>
    <row r="102" spans="1:3" x14ac:dyDescent="0.2">
      <c r="A102" s="16">
        <v>39083</v>
      </c>
      <c r="B102" s="18">
        <v>2990.5189999999998</v>
      </c>
      <c r="C102" s="19">
        <f>B102/GDP!B102</f>
        <v>0.21036806545124101</v>
      </c>
    </row>
    <row r="103" spans="1:3" x14ac:dyDescent="0.2">
      <c r="A103" s="16">
        <v>39173</v>
      </c>
      <c r="B103" s="18">
        <v>3025.982</v>
      </c>
      <c r="C103" s="19">
        <f>B103/GDP!B103</f>
        <v>0.21010726088075321</v>
      </c>
    </row>
    <row r="104" spans="1:3" x14ac:dyDescent="0.2">
      <c r="A104" s="16">
        <v>39264</v>
      </c>
      <c r="B104" s="18">
        <v>3068.9059999999999</v>
      </c>
      <c r="C104" s="19">
        <f>B104/GDP!B104</f>
        <v>0.21071692846191772</v>
      </c>
    </row>
    <row r="105" spans="1:3" x14ac:dyDescent="0.2">
      <c r="A105" s="16">
        <v>39356</v>
      </c>
      <c r="B105" s="18">
        <v>3105.7240000000002</v>
      </c>
      <c r="C105" s="19">
        <f>B105/GDP!B105</f>
        <v>0.21105754391182149</v>
      </c>
    </row>
    <row r="106" spans="1:3" x14ac:dyDescent="0.2">
      <c r="A106" s="16">
        <v>39448</v>
      </c>
      <c r="B106" s="18">
        <v>3157.9960000000001</v>
      </c>
      <c r="C106" s="19">
        <f>B106/GDP!B106</f>
        <v>0.21473415429246503</v>
      </c>
    </row>
    <row r="107" spans="1:3" x14ac:dyDescent="0.2">
      <c r="A107" s="16">
        <v>39539</v>
      </c>
      <c r="B107" s="18">
        <v>3503.8090000000002</v>
      </c>
      <c r="C107" s="19">
        <f>B107/GDP!B107</f>
        <v>0.23569752950096334</v>
      </c>
    </row>
    <row r="108" spans="1:3" x14ac:dyDescent="0.2">
      <c r="A108" s="16">
        <v>39630</v>
      </c>
      <c r="B108" s="18">
        <v>3324.12</v>
      </c>
      <c r="C108" s="19">
        <f>B108/GDP!B108</f>
        <v>0.22311029083229014</v>
      </c>
    </row>
    <row r="109" spans="1:3" x14ac:dyDescent="0.2">
      <c r="A109" s="16">
        <v>39722</v>
      </c>
      <c r="B109" s="18">
        <v>3551.9870000000001</v>
      </c>
      <c r="C109" s="19">
        <f>B109/GDP!B109</f>
        <v>0.24315006719851831</v>
      </c>
    </row>
    <row r="110" spans="1:3" x14ac:dyDescent="0.2">
      <c r="A110" s="16">
        <v>39814</v>
      </c>
      <c r="B110" s="18">
        <v>3641.3510000000001</v>
      </c>
      <c r="C110" s="19">
        <f>B110/GDP!B110</f>
        <v>0.25233010382857568</v>
      </c>
    </row>
    <row r="111" spans="1:3" x14ac:dyDescent="0.2">
      <c r="A111" s="16">
        <v>39904</v>
      </c>
      <c r="B111" s="18">
        <v>3794.462</v>
      </c>
      <c r="C111" s="19">
        <f>B111/GDP!B111</f>
        <v>0.26384811430672578</v>
      </c>
    </row>
    <row r="112" spans="1:3" x14ac:dyDescent="0.2">
      <c r="A112" s="16">
        <v>39995</v>
      </c>
      <c r="B112" s="18">
        <v>3726.7890000000002</v>
      </c>
      <c r="C112" s="19">
        <f>B112/GDP!B112</f>
        <v>0.25792922940335455</v>
      </c>
    </row>
    <row r="113" spans="1:3" x14ac:dyDescent="0.2">
      <c r="A113" s="16">
        <v>40087</v>
      </c>
      <c r="B113" s="18">
        <v>3789.346</v>
      </c>
      <c r="C113" s="19">
        <f>B113/GDP!B113</f>
        <v>0.25863637973800052</v>
      </c>
    </row>
    <row r="114" spans="1:3" x14ac:dyDescent="0.2">
      <c r="A114" s="16">
        <v>40179</v>
      </c>
      <c r="B114" s="18">
        <v>3926.7669999999998</v>
      </c>
      <c r="C114" s="19">
        <f>B114/GDP!B114</f>
        <v>0.26595805781527582</v>
      </c>
    </row>
    <row r="115" spans="1:3" x14ac:dyDescent="0.2">
      <c r="A115" s="16">
        <v>40269</v>
      </c>
      <c r="B115" s="18">
        <v>3995.8380000000002</v>
      </c>
      <c r="C115" s="19">
        <f>B115/GDP!B115</f>
        <v>0.26674142315789928</v>
      </c>
    </row>
    <row r="116" spans="1:3" x14ac:dyDescent="0.2">
      <c r="A116" s="16">
        <v>40360</v>
      </c>
      <c r="B116" s="18">
        <v>3966.721</v>
      </c>
      <c r="C116" s="19">
        <f>B116/GDP!B116</f>
        <v>0.26197490134303447</v>
      </c>
    </row>
    <row r="117" spans="1:3" x14ac:dyDescent="0.2">
      <c r="A117" s="16">
        <v>40452</v>
      </c>
      <c r="B117" s="18">
        <v>3971.91</v>
      </c>
      <c r="C117" s="19">
        <f>B117/GDP!B117</f>
        <v>0.25944131065508846</v>
      </c>
    </row>
    <row r="118" spans="1:3" x14ac:dyDescent="0.2">
      <c r="A118" s="16">
        <v>40544</v>
      </c>
      <c r="B118" s="18">
        <v>3967.683</v>
      </c>
      <c r="C118" s="19">
        <f>B118/GDP!B118</f>
        <v>0.25845659640706203</v>
      </c>
    </row>
    <row r="119" spans="1:3" x14ac:dyDescent="0.2">
      <c r="A119" s="16">
        <v>40634</v>
      </c>
      <c r="B119" s="18">
        <v>4033.989</v>
      </c>
      <c r="C119" s="19">
        <f>B119/GDP!B119</f>
        <v>0.25929480234630942</v>
      </c>
    </row>
    <row r="120" spans="1:3" x14ac:dyDescent="0.2">
      <c r="A120" s="16">
        <v>40725</v>
      </c>
      <c r="B120" s="18">
        <v>3943.7809999999999</v>
      </c>
      <c r="C120" s="19">
        <f>B120/GDP!B120</f>
        <v>0.25203614848974415</v>
      </c>
    </row>
    <row r="121" spans="1:3" x14ac:dyDescent="0.2">
      <c r="A121" s="16">
        <v>40817</v>
      </c>
      <c r="B121" s="18">
        <v>3969.9029999999998</v>
      </c>
      <c r="C121" s="19">
        <f>B121/GDP!B121</f>
        <v>0.25058945192096654</v>
      </c>
    </row>
    <row r="122" spans="1:3" x14ac:dyDescent="0.2">
      <c r="A122" s="16">
        <v>40909</v>
      </c>
      <c r="B122" s="18">
        <v>3913.2860000000001</v>
      </c>
      <c r="C122" s="19">
        <f>B122/GDP!B122</f>
        <v>0.2435331065377917</v>
      </c>
    </row>
    <row r="123" spans="1:3" x14ac:dyDescent="0.2">
      <c r="A123" s="16">
        <v>41000</v>
      </c>
      <c r="B123" s="18">
        <v>3893.4839999999999</v>
      </c>
      <c r="C123" s="19">
        <f>B123/GDP!B123</f>
        <v>0.24023300877423279</v>
      </c>
    </row>
    <row r="124" spans="1:3" x14ac:dyDescent="0.2">
      <c r="A124" s="16">
        <v>41091</v>
      </c>
      <c r="B124" s="18">
        <v>3891.395</v>
      </c>
      <c r="C124" s="19">
        <f>B124/GDP!B124</f>
        <v>0.23845002748545441</v>
      </c>
    </row>
    <row r="125" spans="1:3" x14ac:dyDescent="0.2">
      <c r="A125" s="16">
        <v>41183</v>
      </c>
      <c r="B125" s="18">
        <v>3910.4110000000001</v>
      </c>
      <c r="C125" s="19">
        <f>B125/GDP!B125</f>
        <v>0.23814319232657824</v>
      </c>
    </row>
    <row r="126" spans="1:3" x14ac:dyDescent="0.2">
      <c r="A126" s="16">
        <v>41275</v>
      </c>
      <c r="B126" s="18">
        <v>3857.9989999999998</v>
      </c>
      <c r="C126" s="19">
        <f>B126/GDP!B126</f>
        <v>0.23173685738430769</v>
      </c>
    </row>
    <row r="127" spans="1:3" x14ac:dyDescent="0.2">
      <c r="A127" s="16">
        <v>41365</v>
      </c>
      <c r="B127" s="18">
        <v>3861.6010000000001</v>
      </c>
      <c r="C127" s="19">
        <f>B127/GDP!B127</f>
        <v>0.23083706449884558</v>
      </c>
    </row>
    <row r="128" spans="1:3" x14ac:dyDescent="0.2">
      <c r="A128" s="16">
        <v>41456</v>
      </c>
      <c r="B128" s="18">
        <v>3859.4110000000001</v>
      </c>
      <c r="C128" s="19">
        <f>B128/GDP!B128</f>
        <v>0.22764231910202282</v>
      </c>
    </row>
    <row r="129" spans="1:3" x14ac:dyDescent="0.2">
      <c r="A129" s="16">
        <v>41548</v>
      </c>
      <c r="B129" s="18">
        <v>3852.18</v>
      </c>
      <c r="C129" s="19">
        <f>B129/GDP!B129</f>
        <v>0.22406792361036826</v>
      </c>
    </row>
    <row r="130" spans="1:3" x14ac:dyDescent="0.2">
      <c r="A130" s="16">
        <v>41640</v>
      </c>
      <c r="B130" s="18">
        <v>3897.0859999999998</v>
      </c>
      <c r="C130" s="19">
        <f>B130/GDP!B130</f>
        <v>0.22660456857756522</v>
      </c>
    </row>
    <row r="131" spans="1:3" x14ac:dyDescent="0.2">
      <c r="A131" s="16">
        <v>41730</v>
      </c>
      <c r="B131" s="18">
        <v>3955.0309999999999</v>
      </c>
      <c r="C131" s="19">
        <f>B131/GDP!B131</f>
        <v>0.22576300447503861</v>
      </c>
    </row>
    <row r="132" spans="1:3" x14ac:dyDescent="0.2">
      <c r="A132" s="16">
        <v>41821</v>
      </c>
      <c r="B132" s="18">
        <v>4003.8290000000002</v>
      </c>
      <c r="C132" s="19">
        <f>B132/GDP!B132</f>
        <v>0.22488079797675026</v>
      </c>
    </row>
    <row r="133" spans="1:3" x14ac:dyDescent="0.2">
      <c r="A133" s="16">
        <v>41913</v>
      </c>
      <c r="B133" s="18">
        <v>4004.0949999999998</v>
      </c>
      <c r="C133" s="19">
        <f>B133/GDP!B133</f>
        <v>0.2235416112222372</v>
      </c>
    </row>
    <row r="134" spans="1:3" x14ac:dyDescent="0.2">
      <c r="A134" s="16">
        <v>42005</v>
      </c>
      <c r="B134" s="18">
        <v>4046.7689999999998</v>
      </c>
      <c r="C134" s="19">
        <f>B134/GDP!B134</f>
        <v>0.2240298116719053</v>
      </c>
    </row>
    <row r="135" spans="1:3" x14ac:dyDescent="0.2">
      <c r="A135" s="16">
        <v>42095</v>
      </c>
      <c r="B135" s="18">
        <v>3945.357</v>
      </c>
      <c r="C135" s="19">
        <f>B135/GDP!B135</f>
        <v>0.21583170785825478</v>
      </c>
    </row>
    <row r="136" spans="1:3" x14ac:dyDescent="0.2">
      <c r="A136" s="16">
        <v>42186</v>
      </c>
      <c r="B136" s="18">
        <v>4093.8670000000002</v>
      </c>
      <c r="C136" s="19">
        <f>B136/GDP!B136</f>
        <v>0.22247311188696042</v>
      </c>
    </row>
    <row r="137" spans="1:3" x14ac:dyDescent="0.2">
      <c r="A137" s="16">
        <v>42278</v>
      </c>
      <c r="B137" s="18">
        <v>4128.6440000000002</v>
      </c>
      <c r="C137" s="19">
        <f>B137/GDP!B137</f>
        <v>0.22395515693753729</v>
      </c>
    </row>
    <row r="138" spans="1:3" x14ac:dyDescent="0.2">
      <c r="A138" s="16">
        <v>42370</v>
      </c>
      <c r="B138" s="18">
        <v>4169.0050000000001</v>
      </c>
      <c r="C138" s="19">
        <f>B138/GDP!B138</f>
        <v>0.22503616956835587</v>
      </c>
    </row>
    <row r="139" spans="1:3" x14ac:dyDescent="0.2">
      <c r="A139" s="16">
        <v>42461</v>
      </c>
      <c r="B139" s="18">
        <v>4147.1509999999998</v>
      </c>
      <c r="C139" s="19">
        <f>B139/GDP!B139</f>
        <v>0.22163408758861164</v>
      </c>
    </row>
    <row r="140" spans="1:3" x14ac:dyDescent="0.2">
      <c r="A140" s="16">
        <v>42552</v>
      </c>
      <c r="B140" s="18">
        <v>4228.34</v>
      </c>
      <c r="C140" s="19">
        <f>B140/GDP!B140</f>
        <v>0.22380886015976911</v>
      </c>
    </row>
    <row r="141" spans="1:3" x14ac:dyDescent="0.2">
      <c r="A141" s="16">
        <v>42644</v>
      </c>
      <c r="B141" s="18">
        <v>4259.4610000000002</v>
      </c>
      <c r="C141" s="19">
        <f>B141/GDP!B141</f>
        <v>0.22313250734871995</v>
      </c>
    </row>
    <row r="142" spans="1:3" x14ac:dyDescent="0.2">
      <c r="A142" s="16">
        <v>42736</v>
      </c>
      <c r="B142" s="18">
        <v>4278.3969999999999</v>
      </c>
      <c r="C142" s="19">
        <f>B142/GDP!B142</f>
        <v>0.22190759127397994</v>
      </c>
    </row>
    <row r="143" spans="1:3" x14ac:dyDescent="0.2">
      <c r="A143" s="16">
        <v>42826</v>
      </c>
      <c r="B143" s="18">
        <v>4287.4279999999999</v>
      </c>
      <c r="C143" s="19">
        <f>B143/GDP!B143</f>
        <v>0.22056210405222215</v>
      </c>
    </row>
    <row r="144" spans="1:3" x14ac:dyDescent="0.2">
      <c r="A144" s="16">
        <v>42917</v>
      </c>
      <c r="B144" s="18">
        <v>4370.0810000000001</v>
      </c>
      <c r="C144" s="19">
        <f>B144/GDP!B144</f>
        <v>0.22191493807697765</v>
      </c>
    </row>
    <row r="145" spans="1:3" x14ac:dyDescent="0.2">
      <c r="A145" s="16">
        <v>43009</v>
      </c>
      <c r="B145" s="18">
        <v>4414.1490000000003</v>
      </c>
      <c r="C145" s="19">
        <f>B145/GDP!B145</f>
        <v>0.22029892766853149</v>
      </c>
    </row>
    <row r="146" spans="1:3" x14ac:dyDescent="0.2">
      <c r="A146" s="16">
        <v>43101</v>
      </c>
      <c r="B146" s="18">
        <v>4494.8190000000004</v>
      </c>
      <c r="C146" s="19">
        <f>B146/GDP!B146</f>
        <v>0.22110865441332694</v>
      </c>
    </row>
    <row r="147" spans="1:3" x14ac:dyDescent="0.2">
      <c r="A147" s="16">
        <v>43191</v>
      </c>
      <c r="B147" s="18">
        <v>4557.5079999999998</v>
      </c>
      <c r="C147" s="19">
        <f>B147/GDP!B147</f>
        <v>0.22144344235085403</v>
      </c>
    </row>
    <row r="148" spans="1:3" x14ac:dyDescent="0.2">
      <c r="A148" s="16">
        <v>43282</v>
      </c>
      <c r="B148" s="18">
        <v>4619.018</v>
      </c>
      <c r="C148" s="19">
        <f>B148/GDP!B148</f>
        <v>0.22208173287503613</v>
      </c>
    </row>
    <row r="149" spans="1:3" x14ac:dyDescent="0.2">
      <c r="A149" s="16">
        <v>43374</v>
      </c>
      <c r="B149" s="18">
        <v>4700.3620000000001</v>
      </c>
      <c r="C149" s="19">
        <f>B149/GDP!B149</f>
        <v>0.22470560693401484</v>
      </c>
    </row>
    <row r="150" spans="1:3" x14ac:dyDescent="0.2">
      <c r="A150" s="16">
        <v>43466</v>
      </c>
      <c r="B150" s="18">
        <v>4806.442</v>
      </c>
      <c r="C150" s="19">
        <f>B150/GDP!B150</f>
        <v>0.22766829610261657</v>
      </c>
    </row>
    <row r="151" spans="1:3" x14ac:dyDescent="0.2">
      <c r="A151" s="16">
        <v>43556</v>
      </c>
      <c r="B151" s="18">
        <v>4835.2420000000002</v>
      </c>
      <c r="C151" s="19">
        <f>B151/GDP!B151</f>
        <v>0.22596766099612031</v>
      </c>
    </row>
    <row r="152" spans="1:3" x14ac:dyDescent="0.2">
      <c r="A152" s="16">
        <v>43647</v>
      </c>
      <c r="B152" s="18">
        <v>4888.2259999999997</v>
      </c>
      <c r="C152" s="19">
        <f>B152/GDP!B152</f>
        <v>0.22508576278190193</v>
      </c>
    </row>
    <row r="153" spans="1:3" x14ac:dyDescent="0.2">
      <c r="A153" s="16">
        <v>43739</v>
      </c>
      <c r="B153" s="18">
        <v>4969.38</v>
      </c>
      <c r="C153" s="19">
        <f>B153/GDP!B153</f>
        <v>0.22656867891290183</v>
      </c>
    </row>
    <row r="154" spans="1:3" x14ac:dyDescent="0.2">
      <c r="A154" s="16">
        <v>43831</v>
      </c>
      <c r="B154" s="18">
        <v>5006.6660000000002</v>
      </c>
      <c r="C154" s="19">
        <f>B154/GDP!B154</f>
        <v>0.23017843857899031</v>
      </c>
    </row>
    <row r="155" spans="1:3" x14ac:dyDescent="0.2">
      <c r="A155" s="16">
        <v>43922</v>
      </c>
      <c r="B155" s="18">
        <v>9041.0139999999992</v>
      </c>
      <c r="C155" s="19">
        <f>B155/GDP!B155</f>
        <v>0.45299539925537707</v>
      </c>
    </row>
    <row r="156" spans="1:3" x14ac:dyDescent="0.2">
      <c r="A156" s="16">
        <v>44013</v>
      </c>
      <c r="B156" s="18">
        <v>7315.5550000000003</v>
      </c>
      <c r="C156" s="19">
        <f>B156/GDP!B156</f>
        <v>0.33705343289945738</v>
      </c>
    </row>
    <row r="157" spans="1:3" x14ac:dyDescent="0.2">
      <c r="A157" s="16">
        <v>44105</v>
      </c>
      <c r="B157" s="18">
        <v>6079.6080000000002</v>
      </c>
      <c r="C157" s="19">
        <f>B157/GDP!B157</f>
        <v>0.27525530670308002</v>
      </c>
    </row>
    <row r="158" spans="1:3" x14ac:dyDescent="0.2">
      <c r="A158" s="16">
        <v>44197</v>
      </c>
      <c r="B158" s="18">
        <v>8679.7330000000002</v>
      </c>
      <c r="C158" s="19">
        <f>B158/GDP!B158</f>
        <v>0.38269258351144742</v>
      </c>
    </row>
    <row r="159" spans="1:3" x14ac:dyDescent="0.2">
      <c r="A159" s="16">
        <v>44287</v>
      </c>
      <c r="B159" s="18">
        <v>7890.3819999999996</v>
      </c>
      <c r="C159" s="19">
        <f>B159/GDP!B159</f>
        <v>0.33682285981633153</v>
      </c>
    </row>
    <row r="160" spans="1:3" x14ac:dyDescent="0.2">
      <c r="A160" s="16">
        <v>44378</v>
      </c>
      <c r="B160" s="18">
        <v>6929.0590000000002</v>
      </c>
      <c r="C160" s="19">
        <f>B160/GDP!B160</f>
        <v>0.28892292128316377</v>
      </c>
    </row>
    <row r="161" spans="1:3" x14ac:dyDescent="0.2">
      <c r="A161" s="16">
        <v>44470</v>
      </c>
      <c r="B161" s="18">
        <v>6386.0379999999996</v>
      </c>
      <c r="C161" s="19">
        <f>B161/GDP!B161</f>
        <v>0.25736039913595771</v>
      </c>
    </row>
    <row r="162" spans="1:3" x14ac:dyDescent="0.2">
      <c r="A162" s="16">
        <v>44562</v>
      </c>
      <c r="B162" s="18">
        <v>5822.1509999999998</v>
      </c>
      <c r="C162" s="19">
        <f>B162/GDP!B162</f>
        <v>0.23057706890127092</v>
      </c>
    </row>
    <row r="163" spans="1:3" x14ac:dyDescent="0.2">
      <c r="A163" s="16">
        <v>44652</v>
      </c>
      <c r="B163" s="18">
        <v>6594.9859999999999</v>
      </c>
      <c r="C163" s="19">
        <f>B163/GDP!B163</f>
        <v>0.25501378662752039</v>
      </c>
    </row>
    <row r="164" spans="1:3" x14ac:dyDescent="0.2">
      <c r="A164" s="16">
        <v>44743</v>
      </c>
      <c r="B164" s="18">
        <v>6337.375</v>
      </c>
      <c r="C164" s="19">
        <f>B164/GDP!B164</f>
        <v>0.24063266432525993</v>
      </c>
    </row>
    <row r="165" spans="1:3" x14ac:dyDescent="0.2">
      <c r="A165" s="16">
        <v>44835</v>
      </c>
      <c r="B165" s="18">
        <v>6483.7380000000003</v>
      </c>
      <c r="C165" s="19">
        <f>B165/GDP!B165</f>
        <v>0.24219699330390146</v>
      </c>
    </row>
    <row r="166" spans="1:3" x14ac:dyDescent="0.2">
      <c r="A166" s="16">
        <v>44927</v>
      </c>
      <c r="B166" s="18">
        <v>6732.5029999999997</v>
      </c>
      <c r="C166" s="19">
        <f>B166/GDP!B166</f>
        <v>0.24736893448060537</v>
      </c>
    </row>
    <row r="167" spans="1:3" x14ac:dyDescent="0.2">
      <c r="A167" s="16">
        <v>45017</v>
      </c>
      <c r="B167" s="18">
        <v>6927.4380000000001</v>
      </c>
      <c r="C167" s="19">
        <f>B167/GDP!B167</f>
        <v>0.25163182565381725</v>
      </c>
    </row>
    <row r="168" spans="1:3" x14ac:dyDescent="0.2">
      <c r="A168" s="16">
        <v>45108</v>
      </c>
      <c r="B168" s="18">
        <v>6946.6019999999999</v>
      </c>
      <c r="C168" s="19">
        <f>B168/GDP!B168</f>
        <v>0.2474315264276071</v>
      </c>
    </row>
    <row r="169" spans="1:3" x14ac:dyDescent="0.2">
      <c r="A169" s="16">
        <v>45200</v>
      </c>
      <c r="B169" s="18">
        <v>6887.31</v>
      </c>
      <c r="C169" s="19">
        <f>B169/GDP!B169</f>
        <v>0.24229999505360159</v>
      </c>
    </row>
    <row r="170" spans="1:3" x14ac:dyDescent="0.2">
      <c r="A170" s="16">
        <v>45292</v>
      </c>
      <c r="B170" s="18">
        <v>7069.4279999999999</v>
      </c>
      <c r="C170" s="19">
        <f>B170/GDP!B170</f>
        <v>0.24625151015420318</v>
      </c>
    </row>
    <row r="171" spans="1:3" x14ac:dyDescent="0.2">
      <c r="A171" s="16">
        <v>45383</v>
      </c>
      <c r="B171" s="18">
        <v>7178.0860000000002</v>
      </c>
      <c r="C171" s="19">
        <f>B171/GDP!B171</f>
        <v>0.24627149154473435</v>
      </c>
    </row>
    <row r="172" spans="1:3" x14ac:dyDescent="0.2">
      <c r="A172" s="16">
        <v>45474</v>
      </c>
      <c r="B172" s="18">
        <v>7465.0020000000004</v>
      </c>
      <c r="C172" s="19">
        <f>B172/GDP!B172</f>
        <v>0.25295090104034801</v>
      </c>
    </row>
    <row r="173" spans="1:3" x14ac:dyDescent="0.2">
      <c r="A173" s="16">
        <v>45566</v>
      </c>
      <c r="B173" s="18">
        <v>7573.4459999999999</v>
      </c>
      <c r="C173" s="19">
        <f>B173/GDP!B173</f>
        <v>0.25392790562015682</v>
      </c>
    </row>
    <row r="174" spans="1:3" x14ac:dyDescent="0.2">
      <c r="A174" s="16">
        <v>45658</v>
      </c>
      <c r="B174" s="18">
        <v>7540.7020000000002</v>
      </c>
      <c r="C174" s="19">
        <f>B174/GDP!B174</f>
        <v>0.25100438174904677</v>
      </c>
    </row>
    <row r="175" spans="1:3" x14ac:dyDescent="0.2">
      <c r="A175" s="16">
        <v>45748</v>
      </c>
      <c r="B175" s="18">
        <v>7685.6030000000001</v>
      </c>
      <c r="C175" s="19">
        <f>B175/GDP!B175</f>
        <v>0.25210494392310578</v>
      </c>
    </row>
    <row r="176" spans="1:3" x14ac:dyDescent="0.2">
      <c r="A176" s="16">
        <v>45839</v>
      </c>
      <c r="B176" s="18">
        <v>7766.78</v>
      </c>
      <c r="C176" s="19">
        <f>B176/GDP!B176</f>
        <v>0.24975153568424133</v>
      </c>
    </row>
    <row r="177" spans="1:3" x14ac:dyDescent="0.2">
      <c r="A177" s="16"/>
      <c r="B177" s="18"/>
      <c r="C177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49CB-8F88-B345-BDBC-9B853FA315A7}">
  <dimension ref="A1:G177"/>
  <sheetViews>
    <sheetView showGridLines="0" workbookViewId="0">
      <selection activeCell="B1" sqref="B1"/>
    </sheetView>
  </sheetViews>
  <sheetFormatPr baseColWidth="10" defaultColWidth="11" defaultRowHeight="16" x14ac:dyDescent="0.2"/>
  <cols>
    <col min="1" max="1" width="10.5" bestFit="1" customWidth="1"/>
    <col min="2" max="2" width="11.6640625" bestFit="1" customWidth="1"/>
    <col min="5" max="5" width="14.5" bestFit="1" customWidth="1"/>
    <col min="6" max="6" width="23.6640625" bestFit="1" customWidth="1"/>
    <col min="7" max="7" width="15.6640625" bestFit="1" customWidth="1"/>
  </cols>
  <sheetData>
    <row r="1" spans="1:7" x14ac:dyDescent="0.2">
      <c r="A1" s="7" t="s">
        <v>8</v>
      </c>
      <c r="B1" s="7" t="s">
        <v>5</v>
      </c>
      <c r="C1" t="s">
        <v>33</v>
      </c>
      <c r="D1" s="29" t="s">
        <v>30</v>
      </c>
      <c r="E1" t="s">
        <v>34</v>
      </c>
      <c r="F1" t="s">
        <v>37</v>
      </c>
      <c r="G1" t="s">
        <v>40</v>
      </c>
    </row>
    <row r="2" spans="1:7" x14ac:dyDescent="0.2">
      <c r="A2" s="1">
        <v>29952</v>
      </c>
      <c r="B2" s="4">
        <v>1061299</v>
      </c>
      <c r="C2" s="4">
        <f>B2/1000</f>
        <v>1061.299</v>
      </c>
      <c r="D2" s="4">
        <v>44.88</v>
      </c>
      <c r="E2" s="4">
        <f>C2/(D2/100)</f>
        <v>2364.7482174688057</v>
      </c>
      <c r="F2" s="4">
        <f>E2/(Working_Age_Population!B2/1000000)</f>
        <v>16.184087690800379</v>
      </c>
      <c r="G2" s="4">
        <f>LN(F2)</f>
        <v>2.7840285182146047</v>
      </c>
    </row>
    <row r="3" spans="1:7" x14ac:dyDescent="0.2">
      <c r="A3" s="1">
        <v>30042</v>
      </c>
      <c r="B3" s="4">
        <v>1079630</v>
      </c>
      <c r="C3" s="4">
        <f t="shared" ref="C3:C66" si="0">B3/1000</f>
        <v>1079.6300000000001</v>
      </c>
      <c r="D3" s="4">
        <v>45.463000000000001</v>
      </c>
      <c r="E3" s="4">
        <f t="shared" ref="E3:E66" si="1">C3/(D3/100)</f>
        <v>2374.7442975606536</v>
      </c>
      <c r="F3" s="4">
        <f>E3/(Working_Age_Population!B3/1000000)</f>
        <v>16.184618745867862</v>
      </c>
      <c r="G3" s="4">
        <f t="shared" ref="G3:G66" si="2">LN(F3)</f>
        <v>2.7840613310839459</v>
      </c>
    </row>
    <row r="4" spans="1:7" x14ac:dyDescent="0.2">
      <c r="A4" s="1">
        <v>30133</v>
      </c>
      <c r="B4" s="4">
        <v>1142035</v>
      </c>
      <c r="C4" s="4">
        <f t="shared" si="0"/>
        <v>1142.0350000000001</v>
      </c>
      <c r="D4" s="4">
        <v>46.107999999999997</v>
      </c>
      <c r="E4" s="4">
        <f t="shared" si="1"/>
        <v>2476.8695237269021</v>
      </c>
      <c r="F4" s="4">
        <f>E4/(Working_Age_Population!B4/1000000)</f>
        <v>16.829459487946554</v>
      </c>
      <c r="G4" s="4">
        <f t="shared" si="2"/>
        <v>2.8231308917004467</v>
      </c>
    </row>
    <row r="5" spans="1:7" x14ac:dyDescent="0.2">
      <c r="A5" s="1">
        <v>30225</v>
      </c>
      <c r="B5" s="4">
        <v>1197074</v>
      </c>
      <c r="C5" s="4">
        <f t="shared" si="0"/>
        <v>1197.0740000000001</v>
      </c>
      <c r="D5" s="4">
        <v>46.585999999999999</v>
      </c>
      <c r="E5" s="4">
        <f t="shared" si="1"/>
        <v>2569.6003091057401</v>
      </c>
      <c r="F5" s="4">
        <f>E5/(Working_Age_Population!B5/1000000)</f>
        <v>17.399443734553834</v>
      </c>
      <c r="G5" s="4">
        <f t="shared" si="2"/>
        <v>2.85643823643094</v>
      </c>
    </row>
    <row r="6" spans="1:7" x14ac:dyDescent="0.2">
      <c r="A6" s="1">
        <v>30317</v>
      </c>
      <c r="B6" s="4">
        <v>1244493</v>
      </c>
      <c r="C6" s="4">
        <f t="shared" si="0"/>
        <v>1244.4929999999999</v>
      </c>
      <c r="D6" s="4">
        <v>46.938000000000002</v>
      </c>
      <c r="E6" s="4">
        <f t="shared" si="1"/>
        <v>2651.3549789083468</v>
      </c>
      <c r="F6" s="4">
        <f>E6/(Working_Age_Population!B6/1000000)</f>
        <v>17.972505848693583</v>
      </c>
      <c r="G6" s="4">
        <f t="shared" si="2"/>
        <v>2.8888431373004342</v>
      </c>
    </row>
    <row r="7" spans="1:7" x14ac:dyDescent="0.2">
      <c r="A7" s="1">
        <v>30407</v>
      </c>
      <c r="B7" s="4">
        <v>1319581</v>
      </c>
      <c r="C7" s="4">
        <f t="shared" si="0"/>
        <v>1319.5809999999999</v>
      </c>
      <c r="D7" s="4">
        <v>47.286000000000001</v>
      </c>
      <c r="E7" s="4">
        <f t="shared" si="1"/>
        <v>2790.6378209195109</v>
      </c>
      <c r="F7" s="4">
        <f>E7/(Working_Age_Population!B7/1000000)</f>
        <v>18.828783245740091</v>
      </c>
      <c r="G7" s="4">
        <f t="shared" si="2"/>
        <v>2.9353867227235684</v>
      </c>
    </row>
    <row r="8" spans="1:7" x14ac:dyDescent="0.2">
      <c r="A8" s="1">
        <v>30498</v>
      </c>
      <c r="B8" s="4">
        <v>1377211</v>
      </c>
      <c r="C8" s="4">
        <f t="shared" si="0"/>
        <v>1377.211</v>
      </c>
      <c r="D8" s="4">
        <v>47.789000000000001</v>
      </c>
      <c r="E8" s="4">
        <f t="shared" si="1"/>
        <v>2881.8577496913513</v>
      </c>
      <c r="F8" s="4">
        <f>E8/(Working_Age_Population!B8/1000000)</f>
        <v>19.401671978128803</v>
      </c>
      <c r="G8" s="4">
        <f t="shared" si="2"/>
        <v>2.9653592467952459</v>
      </c>
    </row>
    <row r="9" spans="1:7" x14ac:dyDescent="0.2">
      <c r="A9" s="1">
        <v>30590</v>
      </c>
      <c r="B9" s="4">
        <v>1410702</v>
      </c>
      <c r="C9" s="4">
        <f t="shared" si="0"/>
        <v>1410.702</v>
      </c>
      <c r="D9" s="4">
        <v>48.151000000000003</v>
      </c>
      <c r="E9" s="4">
        <f t="shared" si="1"/>
        <v>2929.7460073518719</v>
      </c>
      <c r="F9" s="4">
        <f>E9/(Working_Age_Population!B9/1000000)</f>
        <v>19.671389930786571</v>
      </c>
      <c r="G9" s="4">
        <f t="shared" si="2"/>
        <v>2.9791652923745779</v>
      </c>
    </row>
    <row r="10" spans="1:7" x14ac:dyDescent="0.2">
      <c r="A10" s="1">
        <v>30682</v>
      </c>
      <c r="B10" s="4">
        <v>1463741</v>
      </c>
      <c r="C10" s="4">
        <f t="shared" si="0"/>
        <v>1463.741</v>
      </c>
      <c r="D10" s="4">
        <v>48.639000000000003</v>
      </c>
      <c r="E10" s="4">
        <f t="shared" si="1"/>
        <v>3009.3978083430989</v>
      </c>
      <c r="F10" s="4">
        <f>E10/(Working_Age_Population!B10/1000000)</f>
        <v>20.1592596629627</v>
      </c>
      <c r="G10" s="4">
        <f t="shared" si="2"/>
        <v>3.003663719461533</v>
      </c>
    </row>
    <row r="11" spans="1:7" x14ac:dyDescent="0.2">
      <c r="A11" s="1">
        <v>30773</v>
      </c>
      <c r="B11" s="4">
        <v>1512697</v>
      </c>
      <c r="C11" s="4">
        <f t="shared" si="0"/>
        <v>1512.6969999999999</v>
      </c>
      <c r="D11" s="4">
        <v>49.055</v>
      </c>
      <c r="E11" s="4">
        <f t="shared" si="1"/>
        <v>3083.6754663133215</v>
      </c>
      <c r="F11" s="4">
        <f>E11/(Working_Age_Population!B11/1000000)</f>
        <v>20.595718834264634</v>
      </c>
      <c r="G11" s="4">
        <f t="shared" si="2"/>
        <v>3.0250832306178363</v>
      </c>
    </row>
    <row r="12" spans="1:7" x14ac:dyDescent="0.2">
      <c r="A12" s="1">
        <v>30864</v>
      </c>
      <c r="B12" s="4">
        <v>1572267</v>
      </c>
      <c r="C12" s="4">
        <f t="shared" si="0"/>
        <v>1572.2670000000001</v>
      </c>
      <c r="D12" s="4">
        <v>49.491</v>
      </c>
      <c r="E12" s="4">
        <f t="shared" si="1"/>
        <v>3176.8745832575619</v>
      </c>
      <c r="F12" s="4">
        <f>E12/(Working_Age_Population!B12/1000000)</f>
        <v>21.163733128376741</v>
      </c>
      <c r="G12" s="4">
        <f t="shared" si="2"/>
        <v>3.0522890152655737</v>
      </c>
    </row>
    <row r="13" spans="1:7" x14ac:dyDescent="0.2">
      <c r="A13" s="1">
        <v>30956</v>
      </c>
      <c r="B13" s="4">
        <v>1662966</v>
      </c>
      <c r="C13" s="4">
        <f t="shared" si="0"/>
        <v>1662.9659999999999</v>
      </c>
      <c r="D13" s="4">
        <v>49.860999999999997</v>
      </c>
      <c r="E13" s="4">
        <f t="shared" si="1"/>
        <v>3335.2038667495635</v>
      </c>
      <c r="F13" s="4">
        <f>E13/(Working_Age_Population!B13/1000000)</f>
        <v>22.160170303751542</v>
      </c>
      <c r="G13" s="4">
        <f t="shared" si="2"/>
        <v>3.0982965470368962</v>
      </c>
    </row>
    <row r="14" spans="1:7" x14ac:dyDescent="0.2">
      <c r="A14" s="1">
        <v>31048</v>
      </c>
      <c r="B14" s="4">
        <v>1710731</v>
      </c>
      <c r="C14" s="4">
        <f t="shared" si="0"/>
        <v>1710.731</v>
      </c>
      <c r="D14" s="4">
        <v>50.353999999999999</v>
      </c>
      <c r="E14" s="4">
        <f t="shared" si="1"/>
        <v>3397.40834888986</v>
      </c>
      <c r="F14" s="4">
        <f>E14/(Working_Age_Population!B14/1000000)</f>
        <v>22.548886051925216</v>
      </c>
      <c r="G14" s="4">
        <f t="shared" si="2"/>
        <v>3.1156856657008087</v>
      </c>
    </row>
    <row r="15" spans="1:7" x14ac:dyDescent="0.2">
      <c r="A15" s="1">
        <v>31138</v>
      </c>
      <c r="B15" s="4">
        <v>1774640</v>
      </c>
      <c r="C15" s="4">
        <f t="shared" si="0"/>
        <v>1774.64</v>
      </c>
      <c r="D15" s="4">
        <v>50.677999999999997</v>
      </c>
      <c r="E15" s="4">
        <f t="shared" si="1"/>
        <v>3501.7956509728087</v>
      </c>
      <c r="F15" s="4">
        <f>E15/(Working_Age_Population!B15/1000000)</f>
        <v>23.181600973694707</v>
      </c>
      <c r="G15" s="4">
        <f t="shared" si="2"/>
        <v>3.1433589025539699</v>
      </c>
    </row>
    <row r="16" spans="1:7" x14ac:dyDescent="0.2">
      <c r="A16" s="1">
        <v>31229</v>
      </c>
      <c r="B16" s="4">
        <v>1823103</v>
      </c>
      <c r="C16" s="4">
        <f t="shared" si="0"/>
        <v>1823.1030000000001</v>
      </c>
      <c r="D16" s="4">
        <v>50.984000000000002</v>
      </c>
      <c r="E16" s="4">
        <f t="shared" si="1"/>
        <v>3575.8335948532867</v>
      </c>
      <c r="F16" s="4">
        <f>E16/(Working_Age_Population!B16/1000000)</f>
        <v>23.621873800603407</v>
      </c>
      <c r="G16" s="4">
        <f t="shared" si="2"/>
        <v>3.1621731387235772</v>
      </c>
    </row>
    <row r="17" spans="1:7" x14ac:dyDescent="0.2">
      <c r="A17" s="1">
        <v>31321</v>
      </c>
      <c r="B17" s="4">
        <v>1945942</v>
      </c>
      <c r="C17" s="4">
        <f t="shared" si="0"/>
        <v>1945.942</v>
      </c>
      <c r="D17" s="4">
        <v>51.268999999999998</v>
      </c>
      <c r="E17" s="4">
        <f t="shared" si="1"/>
        <v>3795.5528682049585</v>
      </c>
      <c r="F17" s="4">
        <f>E17/(Working_Age_Population!B17/1000000)</f>
        <v>25.007716627538255</v>
      </c>
      <c r="G17" s="4">
        <f t="shared" si="2"/>
        <v>3.2191844423424589</v>
      </c>
    </row>
    <row r="18" spans="1:7" x14ac:dyDescent="0.2">
      <c r="A18" s="1">
        <v>31413</v>
      </c>
      <c r="B18" s="4">
        <v>1986816</v>
      </c>
      <c r="C18" s="4">
        <f t="shared" si="0"/>
        <v>1986.816</v>
      </c>
      <c r="D18" s="4">
        <v>51.524000000000001</v>
      </c>
      <c r="E18" s="4">
        <f t="shared" si="1"/>
        <v>3856.0981290272493</v>
      </c>
      <c r="F18" s="4">
        <f>E18/(Working_Age_Population!B18/1000000)</f>
        <v>25.293474593448078</v>
      </c>
      <c r="G18" s="4">
        <f t="shared" si="2"/>
        <v>3.2305464412584937</v>
      </c>
    </row>
    <row r="19" spans="1:7" x14ac:dyDescent="0.2">
      <c r="A19" s="1">
        <v>31503</v>
      </c>
      <c r="B19" s="4">
        <v>2059349</v>
      </c>
      <c r="C19" s="4">
        <f t="shared" si="0"/>
        <v>2059.3490000000002</v>
      </c>
      <c r="D19" s="4">
        <v>51.719000000000001</v>
      </c>
      <c r="E19" s="4">
        <f t="shared" si="1"/>
        <v>3981.8035924901874</v>
      </c>
      <c r="F19" s="4">
        <f>E19/(Working_Age_Population!B19/1000000)</f>
        <v>26.041125913531801</v>
      </c>
      <c r="G19" s="4">
        <f t="shared" si="2"/>
        <v>3.2596770542524829</v>
      </c>
    </row>
    <row r="20" spans="1:7" x14ac:dyDescent="0.2">
      <c r="A20" s="1">
        <v>31594</v>
      </c>
      <c r="B20" s="4">
        <v>2125304</v>
      </c>
      <c r="C20" s="4">
        <f t="shared" si="0"/>
        <v>2125.3040000000001</v>
      </c>
      <c r="D20" s="4">
        <v>51.930999999999997</v>
      </c>
      <c r="E20" s="4">
        <f t="shared" si="1"/>
        <v>4092.5535807128695</v>
      </c>
      <c r="F20" s="4">
        <f>E20/(Working_Age_Population!B20/1000000)</f>
        <v>26.699981418314515</v>
      </c>
      <c r="G20" s="4">
        <f t="shared" si="2"/>
        <v>3.2846628694626849</v>
      </c>
    </row>
    <row r="21" spans="1:7" x14ac:dyDescent="0.2">
      <c r="A21" s="1">
        <v>31686</v>
      </c>
      <c r="B21" s="4">
        <v>2214835</v>
      </c>
      <c r="C21" s="4">
        <f t="shared" si="0"/>
        <v>2214.835</v>
      </c>
      <c r="D21" s="4">
        <v>52.213999999999999</v>
      </c>
      <c r="E21" s="4">
        <f t="shared" si="1"/>
        <v>4241.8412686252732</v>
      </c>
      <c r="F21" s="4">
        <f>E21/(Working_Age_Population!B21/1000000)</f>
        <v>27.597336697662218</v>
      </c>
      <c r="G21" s="4">
        <f t="shared" si="2"/>
        <v>3.3177192716055073</v>
      </c>
    </row>
    <row r="22" spans="1:7" x14ac:dyDescent="0.2">
      <c r="A22" s="1">
        <v>31778</v>
      </c>
      <c r="B22" s="4">
        <v>2246724</v>
      </c>
      <c r="C22" s="4">
        <f t="shared" si="0"/>
        <v>2246.7240000000002</v>
      </c>
      <c r="D22" s="4">
        <v>52.548000000000002</v>
      </c>
      <c r="E22" s="4">
        <f t="shared" si="1"/>
        <v>4275.5651975336832</v>
      </c>
      <c r="F22" s="4">
        <f>E22/(Working_Age_Population!B22/1000000)</f>
        <v>27.757606510415897</v>
      </c>
      <c r="G22" s="4">
        <f t="shared" si="2"/>
        <v>3.3235099111150328</v>
      </c>
    </row>
    <row r="23" spans="1:7" x14ac:dyDescent="0.2">
      <c r="A23" s="1">
        <v>31868</v>
      </c>
      <c r="B23" s="4">
        <v>2309296</v>
      </c>
      <c r="C23" s="4">
        <f t="shared" si="0"/>
        <v>2309.2959999999998</v>
      </c>
      <c r="D23" s="4">
        <v>52.911999999999999</v>
      </c>
      <c r="E23" s="4">
        <f t="shared" si="1"/>
        <v>4364.4088297550643</v>
      </c>
      <c r="F23" s="4">
        <f>E23/(Working_Age_Population!B23/1000000)</f>
        <v>28.246650632574539</v>
      </c>
      <c r="G23" s="4">
        <f t="shared" si="2"/>
        <v>3.3409748888846811</v>
      </c>
    </row>
    <row r="24" spans="1:7" x14ac:dyDescent="0.2">
      <c r="A24" s="1">
        <v>31959</v>
      </c>
      <c r="B24" s="4">
        <v>2350277</v>
      </c>
      <c r="C24" s="4">
        <f t="shared" si="0"/>
        <v>2350.277</v>
      </c>
      <c r="D24" s="4">
        <v>53.313000000000002</v>
      </c>
      <c r="E24" s="4">
        <f t="shared" si="1"/>
        <v>4408.4500965993284</v>
      </c>
      <c r="F24" s="4">
        <f>E24/(Working_Age_Population!B24/1000000)</f>
        <v>28.475894829513003</v>
      </c>
      <c r="G24" s="4">
        <f t="shared" si="2"/>
        <v>3.3490579339321309</v>
      </c>
    </row>
    <row r="25" spans="1:7" x14ac:dyDescent="0.2">
      <c r="A25" s="1">
        <v>32051</v>
      </c>
      <c r="B25" s="4">
        <v>2431715</v>
      </c>
      <c r="C25" s="4">
        <f t="shared" si="0"/>
        <v>2431.7150000000001</v>
      </c>
      <c r="D25" s="4">
        <v>53.738</v>
      </c>
      <c r="E25" s="4">
        <f t="shared" si="1"/>
        <v>4525.1311920800927</v>
      </c>
      <c r="F25" s="4">
        <f>E25/(Working_Age_Population!B25/1000000)</f>
        <v>29.164816019366764</v>
      </c>
      <c r="G25" s="4">
        <f t="shared" si="2"/>
        <v>3.372963051917806</v>
      </c>
    </row>
    <row r="26" spans="1:7" x14ac:dyDescent="0.2">
      <c r="A26" s="1">
        <v>32143</v>
      </c>
      <c r="B26" s="4">
        <v>2487551</v>
      </c>
      <c r="C26" s="4">
        <f t="shared" si="0"/>
        <v>2487.5509999999999</v>
      </c>
      <c r="D26" s="4">
        <v>54.158999999999999</v>
      </c>
      <c r="E26" s="4">
        <f t="shared" si="1"/>
        <v>4593.0519396591517</v>
      </c>
      <c r="F26" s="4">
        <f>E26/(Working_Age_Population!B26/1000000)</f>
        <v>29.53607061421112</v>
      </c>
      <c r="G26" s="4">
        <f t="shared" si="2"/>
        <v>3.3856122491020879</v>
      </c>
    </row>
    <row r="27" spans="1:7" x14ac:dyDescent="0.2">
      <c r="A27" s="1">
        <v>32234</v>
      </c>
      <c r="B27" s="4">
        <v>2547656</v>
      </c>
      <c r="C27" s="4">
        <f t="shared" si="0"/>
        <v>2547.6559999999999</v>
      </c>
      <c r="D27" s="4">
        <v>54.686</v>
      </c>
      <c r="E27" s="4">
        <f t="shared" si="1"/>
        <v>4658.6987528800792</v>
      </c>
      <c r="F27" s="4">
        <f>E27/(Working_Age_Population!B27/1000000)</f>
        <v>29.89777216184477</v>
      </c>
      <c r="G27" s="4">
        <f t="shared" si="2"/>
        <v>3.397783967983361</v>
      </c>
    </row>
    <row r="28" spans="1:7" x14ac:dyDescent="0.2">
      <c r="A28" s="1">
        <v>32325</v>
      </c>
      <c r="B28" s="4">
        <v>2602183</v>
      </c>
      <c r="C28" s="4">
        <f t="shared" si="0"/>
        <v>2602.183</v>
      </c>
      <c r="D28" s="4">
        <v>55.34</v>
      </c>
      <c r="E28" s="4">
        <f t="shared" si="1"/>
        <v>4702.1738344777741</v>
      </c>
      <c r="F28" s="4">
        <f>E28/(Working_Age_Population!B28/1000000)</f>
        <v>30.1121114335794</v>
      </c>
      <c r="G28" s="4">
        <f t="shared" si="2"/>
        <v>3.4049274640330571</v>
      </c>
    </row>
    <row r="29" spans="1:7" x14ac:dyDescent="0.2">
      <c r="A29" s="1">
        <v>32417</v>
      </c>
      <c r="B29" s="4">
        <v>2684392</v>
      </c>
      <c r="C29" s="4">
        <f t="shared" si="0"/>
        <v>2684.3919999999998</v>
      </c>
      <c r="D29" s="4">
        <v>55.817999999999998</v>
      </c>
      <c r="E29" s="4">
        <f t="shared" si="1"/>
        <v>4809.1870006091222</v>
      </c>
      <c r="F29" s="4">
        <f>E29/(Working_Age_Population!B29/1000000)</f>
        <v>30.728025845508256</v>
      </c>
      <c r="G29" s="4">
        <f t="shared" si="2"/>
        <v>3.4251751321493504</v>
      </c>
    </row>
    <row r="30" spans="1:7" x14ac:dyDescent="0.2">
      <c r="A30" s="1">
        <v>32509</v>
      </c>
      <c r="B30" s="4">
        <v>2740898</v>
      </c>
      <c r="C30" s="4">
        <f t="shared" si="0"/>
        <v>2740.8980000000001</v>
      </c>
      <c r="D30" s="4">
        <v>56.4</v>
      </c>
      <c r="E30" s="4">
        <f t="shared" si="1"/>
        <v>4859.7482269503553</v>
      </c>
      <c r="F30" s="4">
        <f>E30/(Working_Age_Population!B30/1000000)</f>
        <v>30.98893780410534</v>
      </c>
      <c r="G30" s="4">
        <f t="shared" si="2"/>
        <v>3.4336302957719482</v>
      </c>
    </row>
    <row r="31" spans="1:7" x14ac:dyDescent="0.2">
      <c r="A31" s="1">
        <v>32599</v>
      </c>
      <c r="B31" s="4">
        <v>2799923</v>
      </c>
      <c r="C31" s="4">
        <f t="shared" si="0"/>
        <v>2799.9229999999998</v>
      </c>
      <c r="D31" s="4">
        <v>57.000999999999998</v>
      </c>
      <c r="E31" s="4">
        <f t="shared" si="1"/>
        <v>4912.0594375537266</v>
      </c>
      <c r="F31" s="4">
        <f>E31/(Working_Age_Population!B31/1000000)</f>
        <v>31.292125128468331</v>
      </c>
      <c r="G31" s="4">
        <f t="shared" si="2"/>
        <v>3.4433664725515238</v>
      </c>
    </row>
    <row r="32" spans="1:7" x14ac:dyDescent="0.2">
      <c r="A32" s="1">
        <v>32690</v>
      </c>
      <c r="B32" s="4">
        <v>2857431</v>
      </c>
      <c r="C32" s="4">
        <f t="shared" si="0"/>
        <v>2857.431</v>
      </c>
      <c r="D32" s="4">
        <v>57.417000000000002</v>
      </c>
      <c r="E32" s="4">
        <f t="shared" si="1"/>
        <v>4976.6288729818689</v>
      </c>
      <c r="F32" s="4">
        <f>E32/(Working_Age_Population!B32/1000000)</f>
        <v>31.631718932304484</v>
      </c>
      <c r="G32" s="4">
        <f t="shared" si="2"/>
        <v>3.4541603808394825</v>
      </c>
    </row>
    <row r="33" spans="1:7" x14ac:dyDescent="0.2">
      <c r="A33" s="1">
        <v>32782</v>
      </c>
      <c r="B33" s="4">
        <v>2952994</v>
      </c>
      <c r="C33" s="4">
        <f t="shared" si="0"/>
        <v>2952.9940000000001</v>
      </c>
      <c r="D33" s="4">
        <v>57.826000000000001</v>
      </c>
      <c r="E33" s="4">
        <f t="shared" si="1"/>
        <v>5106.6890326150869</v>
      </c>
      <c r="F33" s="4">
        <f>E33/(Working_Age_Population!B33/1000000)</f>
        <v>32.365965135005332</v>
      </c>
      <c r="G33" s="4">
        <f t="shared" si="2"/>
        <v>3.4771074118836252</v>
      </c>
    </row>
    <row r="34" spans="1:7" x14ac:dyDescent="0.2">
      <c r="A34" s="1">
        <v>32874</v>
      </c>
      <c r="B34" s="4">
        <v>3051958</v>
      </c>
      <c r="C34" s="4">
        <f t="shared" si="0"/>
        <v>3051.9580000000001</v>
      </c>
      <c r="D34" s="4">
        <v>58.45</v>
      </c>
      <c r="E34" s="4">
        <f t="shared" si="1"/>
        <v>5221.4850299401196</v>
      </c>
      <c r="F34" s="4">
        <f>E34/(Working_Age_Population!B34/1000000)</f>
        <v>32.760189697947801</v>
      </c>
      <c r="G34" s="4">
        <f t="shared" si="2"/>
        <v>3.4892140495037509</v>
      </c>
    </row>
    <row r="35" spans="1:7" x14ac:dyDescent="0.2">
      <c r="A35" s="1">
        <v>32964</v>
      </c>
      <c r="B35" s="4">
        <v>3143754</v>
      </c>
      <c r="C35" s="4">
        <f t="shared" si="0"/>
        <v>3143.7539999999999</v>
      </c>
      <c r="D35" s="4">
        <v>59.104999999999997</v>
      </c>
      <c r="E35" s="4">
        <f t="shared" si="1"/>
        <v>5318.930716521445</v>
      </c>
      <c r="F35" s="4">
        <f>E35/(Working_Age_Population!B35/1000000)</f>
        <v>33.31958404841405</v>
      </c>
      <c r="G35" s="4">
        <f t="shared" si="2"/>
        <v>3.506145333679727</v>
      </c>
    </row>
    <row r="36" spans="1:7" x14ac:dyDescent="0.2">
      <c r="A36" s="1">
        <v>33055</v>
      </c>
      <c r="B36" s="4">
        <v>3233313</v>
      </c>
      <c r="C36" s="4">
        <f t="shared" si="0"/>
        <v>3233.3130000000001</v>
      </c>
      <c r="D36" s="4">
        <v>59.610999999999997</v>
      </c>
      <c r="E36" s="4">
        <f t="shared" si="1"/>
        <v>5424.0207344282107</v>
      </c>
      <c r="F36" s="4">
        <f>E36/(Working_Age_Population!B36/1000000)</f>
        <v>33.899727030917823</v>
      </c>
      <c r="G36" s="4">
        <f t="shared" si="2"/>
        <v>3.5234069621686706</v>
      </c>
    </row>
    <row r="37" spans="1:7" x14ac:dyDescent="0.2">
      <c r="A37" s="1">
        <v>33147</v>
      </c>
      <c r="B37" s="4">
        <v>3364820</v>
      </c>
      <c r="C37" s="4">
        <f t="shared" si="0"/>
        <v>3364.82</v>
      </c>
      <c r="D37" s="4">
        <v>60.055</v>
      </c>
      <c r="E37" s="4">
        <f t="shared" si="1"/>
        <v>5602.8973441012404</v>
      </c>
      <c r="F37" s="4">
        <f>E37/(Working_Age_Population!B37/1000000)</f>
        <v>34.913150741216967</v>
      </c>
      <c r="G37" s="4">
        <f t="shared" si="2"/>
        <v>3.5528635703017968</v>
      </c>
    </row>
    <row r="38" spans="1:7" x14ac:dyDescent="0.2">
      <c r="A38" s="1">
        <v>33239</v>
      </c>
      <c r="B38" s="4">
        <v>3465189</v>
      </c>
      <c r="C38" s="4">
        <f t="shared" si="0"/>
        <v>3465.1889999999999</v>
      </c>
      <c r="D38" s="4">
        <v>60.643000000000001</v>
      </c>
      <c r="E38" s="4">
        <f t="shared" si="1"/>
        <v>5714.0791187771047</v>
      </c>
      <c r="F38" s="4">
        <f>E38/(Working_Age_Population!B38/1000000)</f>
        <v>35.555653392740517</v>
      </c>
      <c r="G38" s="4">
        <f t="shared" si="2"/>
        <v>3.5710991701245942</v>
      </c>
    </row>
    <row r="39" spans="1:7" x14ac:dyDescent="0.2">
      <c r="A39" s="1">
        <v>33329</v>
      </c>
      <c r="B39" s="4">
        <v>3537988</v>
      </c>
      <c r="C39" s="4">
        <f t="shared" si="0"/>
        <v>3537.9879999999998</v>
      </c>
      <c r="D39" s="4">
        <v>61.088000000000001</v>
      </c>
      <c r="E39" s="4">
        <f t="shared" si="1"/>
        <v>5791.6251964379253</v>
      </c>
      <c r="F39" s="4">
        <f>E39/(Working_Age_Population!B39/1000000)</f>
        <v>35.956338087750879</v>
      </c>
      <c r="G39" s="4">
        <f t="shared" si="2"/>
        <v>3.5823053714856941</v>
      </c>
    </row>
    <row r="40" spans="1:7" x14ac:dyDescent="0.2">
      <c r="A40" s="1">
        <v>33420</v>
      </c>
      <c r="B40" s="4">
        <v>3665303</v>
      </c>
      <c r="C40" s="4">
        <f t="shared" si="0"/>
        <v>3665.3029999999999</v>
      </c>
      <c r="D40" s="4">
        <v>61.566000000000003</v>
      </c>
      <c r="E40" s="4">
        <f t="shared" si="1"/>
        <v>5953.4532046909007</v>
      </c>
      <c r="F40" s="4">
        <f>E40/(Working_Age_Population!B40/1000000)</f>
        <v>36.89368761729974</v>
      </c>
      <c r="G40" s="4">
        <f t="shared" si="2"/>
        <v>3.6080404691309553</v>
      </c>
    </row>
    <row r="41" spans="1:7" x14ac:dyDescent="0.2">
      <c r="A41" s="1">
        <v>33512</v>
      </c>
      <c r="B41" s="4">
        <v>3801698</v>
      </c>
      <c r="C41" s="4">
        <f t="shared" si="0"/>
        <v>3801.6979999999999</v>
      </c>
      <c r="D41" s="4">
        <v>61.930999999999997</v>
      </c>
      <c r="E41" s="4">
        <f t="shared" si="1"/>
        <v>6138.6026384201768</v>
      </c>
      <c r="F41" s="4">
        <f>E41/(Working_Age_Population!B41/1000000)</f>
        <v>37.931133095937355</v>
      </c>
      <c r="G41" s="4">
        <f t="shared" si="2"/>
        <v>3.6357722285985932</v>
      </c>
    </row>
    <row r="42" spans="1:7" x14ac:dyDescent="0.2">
      <c r="A42" s="1">
        <v>33604</v>
      </c>
      <c r="B42" s="4">
        <v>3881288</v>
      </c>
      <c r="C42" s="4">
        <f t="shared" si="0"/>
        <v>3881.288</v>
      </c>
      <c r="D42" s="4">
        <v>62.161000000000001</v>
      </c>
      <c r="E42" s="4">
        <f t="shared" si="1"/>
        <v>6243.9278647383408</v>
      </c>
      <c r="F42" s="4">
        <f>E42/(Working_Age_Population!B42/1000000)</f>
        <v>38.54523910632745</v>
      </c>
      <c r="G42" s="4">
        <f t="shared" si="2"/>
        <v>3.6518325931953304</v>
      </c>
    </row>
    <row r="43" spans="1:7" x14ac:dyDescent="0.2">
      <c r="A43" s="1">
        <v>33695</v>
      </c>
      <c r="B43" s="4">
        <v>3984656</v>
      </c>
      <c r="C43" s="4">
        <f t="shared" si="0"/>
        <v>3984.6559999999999</v>
      </c>
      <c r="D43" s="4">
        <v>62.534999999999997</v>
      </c>
      <c r="E43" s="4">
        <f t="shared" si="1"/>
        <v>6371.8813464459909</v>
      </c>
      <c r="F43" s="4">
        <f>E43/(Working_Age_Population!B43/1000000)</f>
        <v>39.241731345932081</v>
      </c>
      <c r="G43" s="4">
        <f t="shared" si="2"/>
        <v>3.6697407556894666</v>
      </c>
    </row>
    <row r="44" spans="1:7" x14ac:dyDescent="0.2">
      <c r="A44" s="1">
        <v>33786</v>
      </c>
      <c r="B44" s="4">
        <v>4064621</v>
      </c>
      <c r="C44" s="4">
        <f t="shared" si="0"/>
        <v>4064.6210000000001</v>
      </c>
      <c r="D44" s="4">
        <v>62.841000000000001</v>
      </c>
      <c r="E44" s="4">
        <f t="shared" si="1"/>
        <v>6468.1036266131987</v>
      </c>
      <c r="F44" s="4">
        <f>E44/(Working_Age_Population!B44/1000000)</f>
        <v>39.739601320331388</v>
      </c>
      <c r="G44" s="4">
        <f t="shared" si="2"/>
        <v>3.6823482048723259</v>
      </c>
    </row>
    <row r="45" spans="1:7" x14ac:dyDescent="0.2">
      <c r="A45" s="1">
        <v>33878</v>
      </c>
      <c r="B45" s="4">
        <v>4177009</v>
      </c>
      <c r="C45" s="4">
        <f t="shared" si="0"/>
        <v>4177.009</v>
      </c>
      <c r="D45" s="4">
        <v>63.273000000000003</v>
      </c>
      <c r="E45" s="4">
        <f t="shared" si="1"/>
        <v>6601.5662288811973</v>
      </c>
      <c r="F45" s="4">
        <f>E45/(Working_Age_Population!B45/1000000)</f>
        <v>40.402366623334785</v>
      </c>
      <c r="G45" s="4">
        <f t="shared" si="2"/>
        <v>3.6988883630368901</v>
      </c>
    </row>
    <row r="46" spans="1:7" x14ac:dyDescent="0.2">
      <c r="A46" s="1">
        <v>33970</v>
      </c>
      <c r="B46" s="4">
        <v>4230580</v>
      </c>
      <c r="C46" s="4">
        <f t="shared" si="0"/>
        <v>4230.58</v>
      </c>
      <c r="D46" s="4">
        <v>63.628</v>
      </c>
      <c r="E46" s="4">
        <f t="shared" si="1"/>
        <v>6648.9281448418942</v>
      </c>
      <c r="F46" s="4">
        <f>E46/(Working_Age_Population!B46/1000000)</f>
        <v>40.661278198200307</v>
      </c>
      <c r="G46" s="4">
        <f t="shared" si="2"/>
        <v>3.7052762439628628</v>
      </c>
    </row>
    <row r="47" spans="1:7" x14ac:dyDescent="0.2">
      <c r="A47" s="1">
        <v>34060</v>
      </c>
      <c r="B47" s="4">
        <v>4351950</v>
      </c>
      <c r="C47" s="4">
        <f t="shared" si="0"/>
        <v>4351.95</v>
      </c>
      <c r="D47" s="4">
        <v>64.007000000000005</v>
      </c>
      <c r="E47" s="4">
        <f t="shared" si="1"/>
        <v>6799.1782148827469</v>
      </c>
      <c r="F47" s="4">
        <f>E47/(Working_Age_Population!B47/1000000)</f>
        <v>41.467337684909559</v>
      </c>
      <c r="G47" s="4">
        <f t="shared" si="2"/>
        <v>3.7249060736180071</v>
      </c>
    </row>
    <row r="48" spans="1:7" x14ac:dyDescent="0.2">
      <c r="A48" s="1">
        <v>34151</v>
      </c>
      <c r="B48" s="4">
        <v>4411489</v>
      </c>
      <c r="C48" s="4">
        <f t="shared" si="0"/>
        <v>4411.4889999999996</v>
      </c>
      <c r="D48" s="4">
        <v>64.387</v>
      </c>
      <c r="E48" s="4">
        <f t="shared" si="1"/>
        <v>6851.5212698215464</v>
      </c>
      <c r="F48" s="4">
        <f>E48/(Working_Age_Population!B48/1000000)</f>
        <v>41.68629099223314</v>
      </c>
      <c r="G48" s="4">
        <f t="shared" si="2"/>
        <v>3.7301723215697238</v>
      </c>
    </row>
    <row r="49" spans="1:7" x14ac:dyDescent="0.2">
      <c r="A49" s="1">
        <v>34243</v>
      </c>
      <c r="B49" s="4">
        <v>4535687</v>
      </c>
      <c r="C49" s="4">
        <f t="shared" si="0"/>
        <v>4535.6869999999999</v>
      </c>
      <c r="D49" s="4">
        <v>64.738</v>
      </c>
      <c r="E49" s="4">
        <f t="shared" si="1"/>
        <v>7006.2204578454694</v>
      </c>
      <c r="F49" s="4">
        <f>E49/(Working_Age_Population!B49/1000000)</f>
        <v>42.496162396694736</v>
      </c>
      <c r="G49" s="4">
        <f t="shared" si="2"/>
        <v>3.7494137753050332</v>
      </c>
    </row>
    <row r="50" spans="1:7" x14ac:dyDescent="0.2">
      <c r="A50" s="1">
        <v>34335</v>
      </c>
      <c r="B50" s="4">
        <v>4575869</v>
      </c>
      <c r="C50" s="4">
        <f t="shared" si="0"/>
        <v>4575.8689999999997</v>
      </c>
      <c r="D50" s="4">
        <v>65.048000000000002</v>
      </c>
      <c r="E50" s="4">
        <f t="shared" si="1"/>
        <v>7034.6036772844654</v>
      </c>
      <c r="F50" s="4">
        <f>E50/(Working_Age_Population!B50/1000000)</f>
        <v>42.578214411457665</v>
      </c>
      <c r="G50" s="4">
        <f t="shared" si="2"/>
        <v>3.75134272367429</v>
      </c>
    </row>
    <row r="51" spans="1:7" x14ac:dyDescent="0.2">
      <c r="A51" s="1">
        <v>34425</v>
      </c>
      <c r="B51" s="4">
        <v>4645802</v>
      </c>
      <c r="C51" s="4">
        <f t="shared" si="0"/>
        <v>4645.8019999999997</v>
      </c>
      <c r="D51" s="4">
        <v>65.361999999999995</v>
      </c>
      <c r="E51" s="4">
        <f t="shared" si="1"/>
        <v>7107.8026988158254</v>
      </c>
      <c r="F51" s="4">
        <f>E51/(Working_Age_Population!B51/1000000)</f>
        <v>42.897681836273478</v>
      </c>
      <c r="G51" s="4">
        <f t="shared" si="2"/>
        <v>3.7588177880234479</v>
      </c>
    </row>
    <row r="52" spans="1:7" x14ac:dyDescent="0.2">
      <c r="A52" s="1">
        <v>34516</v>
      </c>
      <c r="B52" s="4">
        <v>4692750</v>
      </c>
      <c r="C52" s="4">
        <f t="shared" si="0"/>
        <v>4692.75</v>
      </c>
      <c r="D52" s="4">
        <v>65.736999999999995</v>
      </c>
      <c r="E52" s="4">
        <f t="shared" si="1"/>
        <v>7138.6738062278482</v>
      </c>
      <c r="F52" s="4">
        <f>E52/(Working_Age_Population!B52/1000000)</f>
        <v>42.995960551381252</v>
      </c>
      <c r="G52" s="4">
        <f t="shared" si="2"/>
        <v>3.7611061706153093</v>
      </c>
    </row>
    <row r="53" spans="1:7" x14ac:dyDescent="0.2">
      <c r="A53" s="1">
        <v>34608</v>
      </c>
      <c r="B53" s="4">
        <v>4800150</v>
      </c>
      <c r="C53" s="4">
        <f t="shared" si="0"/>
        <v>4800.1499999999996</v>
      </c>
      <c r="D53" s="4">
        <v>66.093000000000004</v>
      </c>
      <c r="E53" s="4">
        <f t="shared" si="1"/>
        <v>7262.7207117243879</v>
      </c>
      <c r="F53" s="4">
        <f>E53/(Working_Age_Population!B53/1000000)</f>
        <v>43.672245991441933</v>
      </c>
      <c r="G53" s="4">
        <f t="shared" si="2"/>
        <v>3.7767127971674292</v>
      </c>
    </row>
    <row r="54" spans="1:7" x14ac:dyDescent="0.2">
      <c r="A54" s="1">
        <v>34700</v>
      </c>
      <c r="B54" s="4">
        <v>4864116</v>
      </c>
      <c r="C54" s="4">
        <f t="shared" si="0"/>
        <v>4864.116</v>
      </c>
      <c r="D54" s="4">
        <v>66.451999999999998</v>
      </c>
      <c r="E54" s="4">
        <f t="shared" si="1"/>
        <v>7319.7435743092756</v>
      </c>
      <c r="F54" s="4">
        <f>E54/(Working_Age_Population!B54/1000000)</f>
        <v>43.948953317565291</v>
      </c>
      <c r="G54" s="4">
        <f t="shared" si="2"/>
        <v>3.7830288085476038</v>
      </c>
    </row>
    <row r="55" spans="1:7" x14ac:dyDescent="0.2">
      <c r="A55" s="1">
        <v>34790</v>
      </c>
      <c r="B55" s="4">
        <v>4951372</v>
      </c>
      <c r="C55" s="4">
        <f t="shared" si="0"/>
        <v>4951.3720000000003</v>
      </c>
      <c r="D55" s="4">
        <v>66.771000000000001</v>
      </c>
      <c r="E55" s="4">
        <f t="shared" si="1"/>
        <v>7415.4528163424238</v>
      </c>
      <c r="F55" s="4">
        <f>E55/(Working_Age_Population!B55/1000000)</f>
        <v>44.409147763792639</v>
      </c>
      <c r="G55" s="4">
        <f t="shared" si="2"/>
        <v>3.7934454789328163</v>
      </c>
    </row>
    <row r="56" spans="1:7" x14ac:dyDescent="0.2">
      <c r="A56" s="1">
        <v>34881</v>
      </c>
      <c r="B56" s="4">
        <v>4973983</v>
      </c>
      <c r="C56" s="4">
        <f t="shared" si="0"/>
        <v>4973.9830000000002</v>
      </c>
      <c r="D56" s="4">
        <v>67.099999999999994</v>
      </c>
      <c r="E56" s="4">
        <f t="shared" si="1"/>
        <v>7412.7913561848</v>
      </c>
      <c r="F56" s="4">
        <f>E56/(Working_Age_Population!B56/1000000)</f>
        <v>44.300670691378841</v>
      </c>
      <c r="G56" s="4">
        <f t="shared" si="2"/>
        <v>3.7909998166967296</v>
      </c>
    </row>
    <row r="57" spans="1:7" x14ac:dyDescent="0.2">
      <c r="A57" s="1">
        <v>34973</v>
      </c>
      <c r="B57" s="4">
        <v>4988665</v>
      </c>
      <c r="C57" s="4">
        <f t="shared" si="0"/>
        <v>4988.665</v>
      </c>
      <c r="D57" s="4">
        <v>67.423000000000002</v>
      </c>
      <c r="E57" s="4">
        <f t="shared" si="1"/>
        <v>7399.0552185455999</v>
      </c>
      <c r="F57" s="4">
        <f>E57/(Working_Age_Population!B57/1000000)</f>
        <v>44.100814021672583</v>
      </c>
      <c r="G57" s="4">
        <f t="shared" si="2"/>
        <v>3.7864782408237718</v>
      </c>
    </row>
    <row r="58" spans="1:7" x14ac:dyDescent="0.2">
      <c r="A58" s="1">
        <v>35065</v>
      </c>
      <c r="B58" s="4">
        <v>5117786</v>
      </c>
      <c r="C58" s="4">
        <f t="shared" si="0"/>
        <v>5117.7860000000001</v>
      </c>
      <c r="D58" s="4">
        <v>67.747</v>
      </c>
      <c r="E58" s="4">
        <f t="shared" si="1"/>
        <v>7554.2621813512033</v>
      </c>
      <c r="F58" s="4">
        <f>E58/(Working_Age_Population!B58/1000000)</f>
        <v>44.938490813756857</v>
      </c>
      <c r="G58" s="4">
        <f t="shared" si="2"/>
        <v>3.8052946839448856</v>
      </c>
    </row>
    <row r="59" spans="1:7" x14ac:dyDescent="0.2">
      <c r="A59" s="1">
        <v>35156</v>
      </c>
      <c r="B59" s="4">
        <v>5161076</v>
      </c>
      <c r="C59" s="4">
        <f t="shared" si="0"/>
        <v>5161.076</v>
      </c>
      <c r="D59" s="4">
        <v>68.028000000000006</v>
      </c>
      <c r="E59" s="4">
        <f t="shared" si="1"/>
        <v>7586.6937143529121</v>
      </c>
      <c r="F59" s="4">
        <f>E59/(Working_Age_Population!B59/1000000)</f>
        <v>44.987732383384653</v>
      </c>
      <c r="G59" s="4">
        <f t="shared" si="2"/>
        <v>3.8063898389018864</v>
      </c>
    </row>
    <row r="60" spans="1:7" x14ac:dyDescent="0.2">
      <c r="A60" s="1">
        <v>35247</v>
      </c>
      <c r="B60" s="4">
        <v>5224811</v>
      </c>
      <c r="C60" s="4">
        <f t="shared" si="0"/>
        <v>5224.8109999999997</v>
      </c>
      <c r="D60" s="4">
        <v>68.251000000000005</v>
      </c>
      <c r="E60" s="4">
        <f t="shared" si="1"/>
        <v>7655.2885672004795</v>
      </c>
      <c r="F60" s="4">
        <f>E60/(Working_Age_Population!B60/1000000)</f>
        <v>45.290070649672309</v>
      </c>
      <c r="G60" s="4">
        <f t="shared" si="2"/>
        <v>3.8130878175066787</v>
      </c>
    </row>
    <row r="61" spans="1:7" x14ac:dyDescent="0.2">
      <c r="A61" s="1">
        <v>35339</v>
      </c>
      <c r="B61" s="4">
        <v>5323172</v>
      </c>
      <c r="C61" s="4">
        <f t="shared" si="0"/>
        <v>5323.1719999999996</v>
      </c>
      <c r="D61" s="4">
        <v>68.614999999999995</v>
      </c>
      <c r="E61" s="4">
        <f t="shared" si="1"/>
        <v>7758.0295853676316</v>
      </c>
      <c r="F61" s="4">
        <f>E61/(Working_Age_Population!B61/1000000)</f>
        <v>45.740321108845585</v>
      </c>
      <c r="G61" s="4">
        <f t="shared" si="2"/>
        <v>3.8229802088770675</v>
      </c>
    </row>
    <row r="62" spans="1:7" x14ac:dyDescent="0.2">
      <c r="A62" s="1">
        <v>35431</v>
      </c>
      <c r="B62" s="4">
        <v>5380890</v>
      </c>
      <c r="C62" s="4">
        <f t="shared" si="0"/>
        <v>5380.89</v>
      </c>
      <c r="D62" s="4">
        <v>69.025000000000006</v>
      </c>
      <c r="E62" s="4">
        <f t="shared" si="1"/>
        <v>7795.5668236146321</v>
      </c>
      <c r="F62" s="4">
        <f>E62/(Working_Age_Population!B62/1000000)</f>
        <v>45.729845859181275</v>
      </c>
      <c r="G62" s="4">
        <f t="shared" si="2"/>
        <v>3.8227511669925418</v>
      </c>
    </row>
    <row r="63" spans="1:7" x14ac:dyDescent="0.2">
      <c r="A63" s="1">
        <v>35521</v>
      </c>
      <c r="B63" s="4">
        <v>5376151</v>
      </c>
      <c r="C63" s="4">
        <f t="shared" si="0"/>
        <v>5376.1509999999998</v>
      </c>
      <c r="D63" s="4">
        <v>69.162000000000006</v>
      </c>
      <c r="E63" s="4">
        <f t="shared" si="1"/>
        <v>7773.2728955206612</v>
      </c>
      <c r="F63" s="4">
        <f>E63/(Working_Age_Population!B63/1000000)</f>
        <v>45.482090959904014</v>
      </c>
      <c r="G63" s="4">
        <f t="shared" si="2"/>
        <v>3.8173186431971806</v>
      </c>
    </row>
    <row r="64" spans="1:7" x14ac:dyDescent="0.2">
      <c r="A64" s="1">
        <v>35612</v>
      </c>
      <c r="B64" s="4">
        <v>5413146</v>
      </c>
      <c r="C64" s="4">
        <f t="shared" si="0"/>
        <v>5413.1459999999997</v>
      </c>
      <c r="D64" s="4">
        <v>69.463999999999999</v>
      </c>
      <c r="E64" s="4">
        <f t="shared" si="1"/>
        <v>7792.7358055971426</v>
      </c>
      <c r="F64" s="4">
        <f>E64/(Working_Age_Population!B64/1000000)</f>
        <v>45.479115589643257</v>
      </c>
      <c r="G64" s="4">
        <f t="shared" si="2"/>
        <v>3.8172532225552458</v>
      </c>
    </row>
    <row r="65" spans="1:7" x14ac:dyDescent="0.2">
      <c r="A65" s="1">
        <v>35704</v>
      </c>
      <c r="B65" s="4">
        <v>5502388</v>
      </c>
      <c r="C65" s="4">
        <f t="shared" si="0"/>
        <v>5502.3879999999999</v>
      </c>
      <c r="D65" s="4">
        <v>69.694999999999993</v>
      </c>
      <c r="E65" s="4">
        <f t="shared" si="1"/>
        <v>7894.9537269531538</v>
      </c>
      <c r="F65" s="4">
        <f>E65/(Working_Age_Population!B65/1000000)</f>
        <v>45.946421589674109</v>
      </c>
      <c r="G65" s="4">
        <f t="shared" si="2"/>
        <v>3.827475969592347</v>
      </c>
    </row>
    <row r="66" spans="1:7" x14ac:dyDescent="0.2">
      <c r="A66" s="1">
        <v>35796</v>
      </c>
      <c r="B66" s="4">
        <v>5542426</v>
      </c>
      <c r="C66" s="4">
        <f t="shared" si="0"/>
        <v>5542.4260000000004</v>
      </c>
      <c r="D66" s="4">
        <v>69.793999999999997</v>
      </c>
      <c r="E66" s="4">
        <f t="shared" si="1"/>
        <v>7941.1210132676169</v>
      </c>
      <c r="F66" s="4">
        <f>E66/(Working_Age_Population!B66/1000000)</f>
        <v>46.098168825707575</v>
      </c>
      <c r="G66" s="4">
        <f t="shared" si="2"/>
        <v>3.8307732274285868</v>
      </c>
    </row>
    <row r="67" spans="1:7" x14ac:dyDescent="0.2">
      <c r="A67" s="1">
        <v>35886</v>
      </c>
      <c r="B67" s="4">
        <v>5547935</v>
      </c>
      <c r="C67" s="4">
        <f t="shared" ref="C67:C130" si="3">B67/1000</f>
        <v>5547.9350000000004</v>
      </c>
      <c r="D67" s="4">
        <v>69.959000000000003</v>
      </c>
      <c r="E67" s="4">
        <f t="shared" ref="E67:E130" si="4">C67/(D67/100)</f>
        <v>7930.2662988321736</v>
      </c>
      <c r="F67" s="4">
        <f>E67/(Working_Age_Population!B67/1000000)</f>
        <v>45.915303866495591</v>
      </c>
      <c r="G67" s="4">
        <f t="shared" ref="G67:G130" si="5">LN(F67)</f>
        <v>3.8267984790659231</v>
      </c>
    </row>
    <row r="68" spans="1:7" x14ac:dyDescent="0.2">
      <c r="A68" s="1">
        <v>35977</v>
      </c>
      <c r="B68" s="4">
        <v>5526193</v>
      </c>
      <c r="C68" s="4">
        <f t="shared" si="3"/>
        <v>5526.1930000000002</v>
      </c>
      <c r="D68" s="4">
        <v>70.254999999999995</v>
      </c>
      <c r="E68" s="4">
        <f t="shared" si="4"/>
        <v>7865.9070528787988</v>
      </c>
      <c r="F68" s="4">
        <f>E68/(Working_Age_Population!B68/1000000)</f>
        <v>45.397414259923394</v>
      </c>
      <c r="G68" s="4">
        <f t="shared" si="5"/>
        <v>3.8154551487980881</v>
      </c>
    </row>
    <row r="69" spans="1:7" x14ac:dyDescent="0.2">
      <c r="A69" s="1">
        <v>36069</v>
      </c>
      <c r="B69" s="4">
        <v>5614217</v>
      </c>
      <c r="C69" s="4">
        <f t="shared" si="3"/>
        <v>5614.2169999999996</v>
      </c>
      <c r="D69" s="4">
        <v>70.453000000000003</v>
      </c>
      <c r="E69" s="4">
        <f t="shared" si="4"/>
        <v>7968.7408627027944</v>
      </c>
      <c r="F69" s="4">
        <f>E69/(Working_Age_Population!B69/1000000)</f>
        <v>45.871740197585972</v>
      </c>
      <c r="G69" s="4">
        <f t="shared" si="5"/>
        <v>3.8258492454867206</v>
      </c>
    </row>
    <row r="70" spans="1:7" x14ac:dyDescent="0.2">
      <c r="A70" s="1">
        <v>36161</v>
      </c>
      <c r="B70" s="4">
        <v>5651615</v>
      </c>
      <c r="C70" s="4">
        <f t="shared" si="3"/>
        <v>5651.6149999999998</v>
      </c>
      <c r="D70" s="4">
        <v>70.682000000000002</v>
      </c>
      <c r="E70" s="4">
        <f t="shared" si="4"/>
        <v>7995.833451232279</v>
      </c>
      <c r="F70" s="4">
        <f>E70/(Working_Age_Population!B70/1000000)</f>
        <v>45.816126412742427</v>
      </c>
      <c r="G70" s="4">
        <f t="shared" si="5"/>
        <v>3.8246361342274047</v>
      </c>
    </row>
    <row r="71" spans="1:7" x14ac:dyDescent="0.2">
      <c r="A71" s="1">
        <v>36251</v>
      </c>
      <c r="B71" s="4">
        <v>5638780</v>
      </c>
      <c r="C71" s="4">
        <f t="shared" si="3"/>
        <v>5638.78</v>
      </c>
      <c r="D71" s="4">
        <v>70.948999999999998</v>
      </c>
      <c r="E71" s="4">
        <f t="shared" si="4"/>
        <v>7947.652539147839</v>
      </c>
      <c r="F71" s="4">
        <f>E71/(Working_Age_Population!B71/1000000)</f>
        <v>45.411117853006978</v>
      </c>
      <c r="G71" s="4">
        <f t="shared" si="5"/>
        <v>3.8157569616975753</v>
      </c>
    </row>
    <row r="72" spans="1:7" x14ac:dyDescent="0.2">
      <c r="A72" s="1">
        <v>36342</v>
      </c>
      <c r="B72" s="4">
        <v>5656271</v>
      </c>
      <c r="C72" s="4">
        <f t="shared" si="3"/>
        <v>5656.2709999999997</v>
      </c>
      <c r="D72" s="4">
        <v>71.2</v>
      </c>
      <c r="E72" s="4">
        <f t="shared" si="4"/>
        <v>7944.2008426966277</v>
      </c>
      <c r="F72" s="4">
        <f>E72/(Working_Age_Population!B72/1000000)</f>
        <v>45.246112682860328</v>
      </c>
      <c r="G72" s="4">
        <f t="shared" si="5"/>
        <v>3.8121167588945717</v>
      </c>
    </row>
    <row r="73" spans="1:7" x14ac:dyDescent="0.2">
      <c r="A73" s="1">
        <v>36434</v>
      </c>
      <c r="B73" s="4">
        <v>5776091</v>
      </c>
      <c r="C73" s="4">
        <f t="shared" si="3"/>
        <v>5776.0910000000003</v>
      </c>
      <c r="D73" s="4">
        <v>71.594999999999999</v>
      </c>
      <c r="E73" s="4">
        <f t="shared" si="4"/>
        <v>8067.7295900551726</v>
      </c>
      <c r="F73" s="4">
        <f>E73/(Working_Age_Population!B73/1000000)</f>
        <v>45.824583827805412</v>
      </c>
      <c r="G73" s="4">
        <f t="shared" si="5"/>
        <v>3.8248207119126887</v>
      </c>
    </row>
    <row r="74" spans="1:7" x14ac:dyDescent="0.2">
      <c r="A74" s="1">
        <v>36526</v>
      </c>
      <c r="B74" s="4">
        <v>5773392</v>
      </c>
      <c r="C74" s="4">
        <f t="shared" si="3"/>
        <v>5773.3919999999998</v>
      </c>
      <c r="D74" s="4">
        <v>72.070999999999998</v>
      </c>
      <c r="E74" s="4">
        <f t="shared" si="4"/>
        <v>8010.7005591708175</v>
      </c>
      <c r="F74" s="4">
        <f>E74/(Working_Age_Population!B74/1000000)</f>
        <v>44.931994049812481</v>
      </c>
      <c r="G74" s="4">
        <f t="shared" si="5"/>
        <v>3.8051501033528137</v>
      </c>
    </row>
    <row r="75" spans="1:7" x14ac:dyDescent="0.2">
      <c r="A75" s="1">
        <v>36617</v>
      </c>
      <c r="B75" s="4">
        <v>5685938</v>
      </c>
      <c r="C75" s="4">
        <f t="shared" si="3"/>
        <v>5685.9380000000001</v>
      </c>
      <c r="D75" s="4">
        <v>72.52</v>
      </c>
      <c r="E75" s="4">
        <f t="shared" si="4"/>
        <v>7840.5102040816337</v>
      </c>
      <c r="F75" s="4">
        <f>E75/(Working_Age_Population!B75/1000000)</f>
        <v>43.853009155854494</v>
      </c>
      <c r="G75" s="4">
        <f t="shared" si="5"/>
        <v>3.780843340314413</v>
      </c>
    </row>
    <row r="76" spans="1:7" x14ac:dyDescent="0.2">
      <c r="A76" s="1">
        <v>36708</v>
      </c>
      <c r="B76" s="4">
        <v>5674179</v>
      </c>
      <c r="C76" s="4">
        <f t="shared" si="3"/>
        <v>5674.1790000000001</v>
      </c>
      <c r="D76" s="4">
        <v>72.944000000000003</v>
      </c>
      <c r="E76" s="4">
        <f t="shared" si="4"/>
        <v>7778.8152555384959</v>
      </c>
      <c r="F76" s="4">
        <f>E76/(Working_Age_Population!B76/1000000)</f>
        <v>43.341362283620718</v>
      </c>
      <c r="G76" s="4">
        <f t="shared" si="5"/>
        <v>3.7691074280927812</v>
      </c>
    </row>
    <row r="77" spans="1:7" x14ac:dyDescent="0.2">
      <c r="A77" s="1">
        <v>36800</v>
      </c>
      <c r="B77" s="4">
        <v>5662216</v>
      </c>
      <c r="C77" s="4">
        <f t="shared" si="3"/>
        <v>5662.2160000000003</v>
      </c>
      <c r="D77" s="4">
        <v>73.337000000000003</v>
      </c>
      <c r="E77" s="4">
        <f t="shared" si="4"/>
        <v>7720.8175954838616</v>
      </c>
      <c r="F77" s="4">
        <f>E77/(Working_Age_Population!B77/1000000)</f>
        <v>42.909935439133996</v>
      </c>
      <c r="G77" s="4">
        <f t="shared" si="5"/>
        <v>3.7591033944377243</v>
      </c>
    </row>
    <row r="78" spans="1:7" x14ac:dyDescent="0.2">
      <c r="A78" s="1">
        <v>36892</v>
      </c>
      <c r="B78" s="4">
        <v>5773740</v>
      </c>
      <c r="C78" s="4">
        <f t="shared" si="3"/>
        <v>5773.74</v>
      </c>
      <c r="D78" s="4">
        <v>73.822000000000003</v>
      </c>
      <c r="E78" s="4">
        <f t="shared" si="4"/>
        <v>7821.1644225298687</v>
      </c>
      <c r="F78" s="4">
        <f>E78/(Working_Age_Population!B78/1000000)</f>
        <v>43.334848289829679</v>
      </c>
      <c r="G78" s="4">
        <f t="shared" si="5"/>
        <v>3.7689571217108986</v>
      </c>
    </row>
    <row r="79" spans="1:7" x14ac:dyDescent="0.2">
      <c r="A79" s="1">
        <v>36982</v>
      </c>
      <c r="B79" s="4">
        <v>5726815</v>
      </c>
      <c r="C79" s="4">
        <f t="shared" si="3"/>
        <v>5726.8149999999996</v>
      </c>
      <c r="D79" s="4">
        <v>74.266000000000005</v>
      </c>
      <c r="E79" s="4">
        <f t="shared" si="4"/>
        <v>7711.2204777421684</v>
      </c>
      <c r="F79" s="4">
        <f>E79/(Working_Age_Population!B79/1000000)</f>
        <v>42.586268140595969</v>
      </c>
      <c r="G79" s="4">
        <f t="shared" si="5"/>
        <v>3.751531857193827</v>
      </c>
    </row>
    <row r="80" spans="1:7" x14ac:dyDescent="0.2">
      <c r="A80" s="1">
        <v>37073</v>
      </c>
      <c r="B80" s="4">
        <v>5807464</v>
      </c>
      <c r="C80" s="4">
        <f t="shared" si="3"/>
        <v>5807.4639999999999</v>
      </c>
      <c r="D80" s="4">
        <v>74.558000000000007</v>
      </c>
      <c r="E80" s="4">
        <f t="shared" si="4"/>
        <v>7789.1896241851982</v>
      </c>
      <c r="F80" s="4">
        <f>E80/(Working_Age_Population!B80/1000000)</f>
        <v>42.839816005600696</v>
      </c>
      <c r="G80" s="4">
        <f t="shared" si="5"/>
        <v>3.7574679506497062</v>
      </c>
    </row>
    <row r="81" spans="1:7" x14ac:dyDescent="0.2">
      <c r="A81" s="1">
        <v>37165</v>
      </c>
      <c r="B81" s="4">
        <v>5943439</v>
      </c>
      <c r="C81" s="4">
        <f t="shared" si="3"/>
        <v>5943.4390000000003</v>
      </c>
      <c r="D81" s="4">
        <v>74.792000000000002</v>
      </c>
      <c r="E81" s="4">
        <f t="shared" si="4"/>
        <v>7946.6239704781265</v>
      </c>
      <c r="F81" s="4">
        <f>E81/(Working_Age_Population!B81/1000000)</f>
        <v>43.545141439323558</v>
      </c>
      <c r="G81" s="4">
        <f t="shared" si="5"/>
        <v>3.7737981342580076</v>
      </c>
    </row>
    <row r="82" spans="1:7" x14ac:dyDescent="0.2">
      <c r="A82" s="1">
        <v>37257</v>
      </c>
      <c r="B82" s="4">
        <v>6006032</v>
      </c>
      <c r="C82" s="4">
        <f t="shared" si="3"/>
        <v>6006.0320000000002</v>
      </c>
      <c r="D82" s="4">
        <v>75.027000000000001</v>
      </c>
      <c r="E82" s="4">
        <f t="shared" si="4"/>
        <v>8005.1608087755076</v>
      </c>
      <c r="F82" s="4">
        <f>E82/(Working_Age_Population!B82/1000000)</f>
        <v>43.779574183288119</v>
      </c>
      <c r="G82" s="4">
        <f t="shared" si="5"/>
        <v>3.7791673657634539</v>
      </c>
    </row>
    <row r="83" spans="1:7" x14ac:dyDescent="0.2">
      <c r="A83" s="1">
        <v>37347</v>
      </c>
      <c r="B83" s="4">
        <v>6126469</v>
      </c>
      <c r="C83" s="4">
        <f t="shared" si="3"/>
        <v>6126.4690000000001</v>
      </c>
      <c r="D83" s="4">
        <v>75.289000000000001</v>
      </c>
      <c r="E83" s="4">
        <f t="shared" si="4"/>
        <v>8137.2697206763269</v>
      </c>
      <c r="F83" s="4">
        <f>E83/(Working_Age_Population!B83/1000000)</f>
        <v>44.349184808265605</v>
      </c>
      <c r="G83" s="4">
        <f t="shared" si="5"/>
        <v>3.7920943277132784</v>
      </c>
    </row>
    <row r="84" spans="1:7" x14ac:dyDescent="0.2">
      <c r="A84" s="1">
        <v>37438</v>
      </c>
      <c r="B84" s="4">
        <v>6228236</v>
      </c>
      <c r="C84" s="4">
        <f t="shared" si="3"/>
        <v>6228.2359999999999</v>
      </c>
      <c r="D84" s="4">
        <v>75.650000000000006</v>
      </c>
      <c r="E84" s="4">
        <f t="shared" si="4"/>
        <v>8232.9623265036334</v>
      </c>
      <c r="F84" s="4">
        <f>E84/(Working_Age_Population!B84/1000000)</f>
        <v>44.723335641144971</v>
      </c>
      <c r="G84" s="4">
        <f t="shared" si="5"/>
        <v>3.8004954155362287</v>
      </c>
    </row>
    <row r="85" spans="1:7" x14ac:dyDescent="0.2">
      <c r="A85" s="1">
        <v>37530</v>
      </c>
      <c r="B85" s="4">
        <v>6405707</v>
      </c>
      <c r="C85" s="4">
        <f t="shared" si="3"/>
        <v>6405.7070000000003</v>
      </c>
      <c r="D85" s="4">
        <v>76.088999999999999</v>
      </c>
      <c r="E85" s="4">
        <f t="shared" si="4"/>
        <v>8418.7030976882343</v>
      </c>
      <c r="F85" s="4">
        <f>E85/(Working_Age_Population!B85/1000000)</f>
        <v>45.576280022745493</v>
      </c>
      <c r="G85" s="4">
        <f t="shared" si="5"/>
        <v>3.8193874062426296</v>
      </c>
    </row>
    <row r="86" spans="1:7" x14ac:dyDescent="0.2">
      <c r="A86" s="1">
        <v>37622</v>
      </c>
      <c r="B86" s="4">
        <v>6460776</v>
      </c>
      <c r="C86" s="4">
        <f t="shared" si="3"/>
        <v>6460.7759999999998</v>
      </c>
      <c r="D86" s="4">
        <v>76.460999999999999</v>
      </c>
      <c r="E86" s="4">
        <f t="shared" si="4"/>
        <v>8449.7665476517432</v>
      </c>
      <c r="F86" s="4">
        <f>E86/(Working_Age_Population!B86/1000000)</f>
        <v>45.461612386799906</v>
      </c>
      <c r="G86" s="4">
        <f t="shared" si="5"/>
        <v>3.816868286048821</v>
      </c>
    </row>
    <row r="87" spans="1:7" x14ac:dyDescent="0.2">
      <c r="A87" s="1">
        <v>37712</v>
      </c>
      <c r="B87" s="4">
        <v>6670121</v>
      </c>
      <c r="C87" s="4">
        <f t="shared" si="3"/>
        <v>6670.1210000000001</v>
      </c>
      <c r="D87" s="4">
        <v>76.73</v>
      </c>
      <c r="E87" s="4">
        <f t="shared" si="4"/>
        <v>8692.9766714453272</v>
      </c>
      <c r="F87" s="4">
        <f>E87/(Working_Age_Population!B87/1000000)</f>
        <v>46.564861479746384</v>
      </c>
      <c r="G87" s="4">
        <f t="shared" si="5"/>
        <v>3.8408462111972943</v>
      </c>
    </row>
    <row r="88" spans="1:7" x14ac:dyDescent="0.2">
      <c r="A88" s="1">
        <v>37803</v>
      </c>
      <c r="B88" s="4">
        <v>6783320</v>
      </c>
      <c r="C88" s="4">
        <f t="shared" si="3"/>
        <v>6783.32</v>
      </c>
      <c r="D88" s="4">
        <v>77.168999999999997</v>
      </c>
      <c r="E88" s="4">
        <f t="shared" si="4"/>
        <v>8790.2136868431626</v>
      </c>
      <c r="F88" s="4">
        <f>E88/(Working_Age_Population!B88/1000000)</f>
        <v>46.914234089832121</v>
      </c>
      <c r="G88" s="4">
        <f t="shared" si="5"/>
        <v>3.8483211281229175</v>
      </c>
    </row>
    <row r="89" spans="1:7" x14ac:dyDescent="0.2">
      <c r="A89" s="1">
        <v>37895</v>
      </c>
      <c r="B89" s="4">
        <v>6997964</v>
      </c>
      <c r="C89" s="4">
        <f t="shared" si="3"/>
        <v>6997.9639999999999</v>
      </c>
      <c r="D89" s="4">
        <v>77.638999999999996</v>
      </c>
      <c r="E89" s="4">
        <f t="shared" si="4"/>
        <v>9013.4648823400621</v>
      </c>
      <c r="F89" s="4">
        <f>E89/(Working_Age_Population!B89/1000000)</f>
        <v>47.973043756477963</v>
      </c>
      <c r="G89" s="4">
        <f t="shared" si="5"/>
        <v>3.8706392647513495</v>
      </c>
    </row>
    <row r="90" spans="1:7" x14ac:dyDescent="0.2">
      <c r="A90" s="1">
        <v>37987</v>
      </c>
      <c r="B90" s="4">
        <v>7131068</v>
      </c>
      <c r="C90" s="4">
        <f t="shared" si="3"/>
        <v>7131.0680000000002</v>
      </c>
      <c r="D90" s="4">
        <v>78.192999999999998</v>
      </c>
      <c r="E90" s="4">
        <f t="shared" si="4"/>
        <v>9119.8291407159213</v>
      </c>
      <c r="F90" s="4">
        <f>E90/(Working_Age_Population!B90/1000000)</f>
        <v>48.55240212647066</v>
      </c>
      <c r="G90" s="4">
        <f t="shared" si="5"/>
        <v>3.8826436708866061</v>
      </c>
    </row>
    <row r="91" spans="1:7" x14ac:dyDescent="0.2">
      <c r="A91" s="1">
        <v>38078</v>
      </c>
      <c r="B91" s="4">
        <v>7274335</v>
      </c>
      <c r="C91" s="4">
        <f t="shared" si="3"/>
        <v>7274.335</v>
      </c>
      <c r="D91" s="4">
        <v>78.823999999999998</v>
      </c>
      <c r="E91" s="4">
        <f t="shared" si="4"/>
        <v>9228.5788592306926</v>
      </c>
      <c r="F91" s="4">
        <f>E91/(Working_Age_Population!B91/1000000)</f>
        <v>48.952922507629907</v>
      </c>
      <c r="G91" s="4">
        <f t="shared" si="5"/>
        <v>3.8908590711295483</v>
      </c>
    </row>
    <row r="92" spans="1:7" x14ac:dyDescent="0.2">
      <c r="A92" s="1">
        <v>38169</v>
      </c>
      <c r="B92" s="4">
        <v>7379053</v>
      </c>
      <c r="C92" s="4">
        <f t="shared" si="3"/>
        <v>7379.0529999999999</v>
      </c>
      <c r="D92" s="4">
        <v>79.323999999999998</v>
      </c>
      <c r="E92" s="4">
        <f t="shared" si="4"/>
        <v>9302.4217134788978</v>
      </c>
      <c r="F92" s="4">
        <f>E92/(Working_Age_Population!B92/1000000)</f>
        <v>49.211264487794651</v>
      </c>
      <c r="G92" s="4">
        <f t="shared" si="5"/>
        <v>3.8961225502964796</v>
      </c>
    </row>
    <row r="93" spans="1:7" x14ac:dyDescent="0.2">
      <c r="A93" s="1">
        <v>38261</v>
      </c>
      <c r="B93" s="4">
        <v>7596143</v>
      </c>
      <c r="C93" s="4">
        <f t="shared" si="3"/>
        <v>7596.143</v>
      </c>
      <c r="D93" s="4">
        <v>79.938999999999993</v>
      </c>
      <c r="E93" s="4">
        <f t="shared" si="4"/>
        <v>9502.4243485657826</v>
      </c>
      <c r="F93" s="4">
        <f>E93/(Working_Age_Population!B93/1000000)</f>
        <v>50.104160265862788</v>
      </c>
      <c r="G93" s="4">
        <f t="shared" si="5"/>
        <v>3.9141040438820305</v>
      </c>
    </row>
    <row r="94" spans="1:7" x14ac:dyDescent="0.2">
      <c r="A94" s="1">
        <v>38353</v>
      </c>
      <c r="B94" s="4">
        <v>7776939</v>
      </c>
      <c r="C94" s="4">
        <f t="shared" si="3"/>
        <v>7776.9390000000003</v>
      </c>
      <c r="D94" s="4">
        <v>80.578000000000003</v>
      </c>
      <c r="E94" s="4">
        <f t="shared" si="4"/>
        <v>9651.4420809650273</v>
      </c>
      <c r="F94" s="4">
        <f>E94/(Working_Age_Population!B94/1000000)</f>
        <v>50.738545217557203</v>
      </c>
      <c r="G94" s="4">
        <f t="shared" si="5"/>
        <v>3.9266858824466886</v>
      </c>
    </row>
    <row r="95" spans="1:7" x14ac:dyDescent="0.2">
      <c r="A95" s="1">
        <v>38443</v>
      </c>
      <c r="B95" s="4">
        <v>7836496</v>
      </c>
      <c r="C95" s="4">
        <f t="shared" si="3"/>
        <v>7836.4960000000001</v>
      </c>
      <c r="D95" s="4">
        <v>81.158000000000001</v>
      </c>
      <c r="E95" s="4">
        <f t="shared" si="4"/>
        <v>9655.8515488306766</v>
      </c>
      <c r="F95" s="4">
        <f>E95/(Working_Age_Population!B95/1000000)</f>
        <v>50.636336947728807</v>
      </c>
      <c r="G95" s="4">
        <f t="shared" si="5"/>
        <v>3.9246694400641728</v>
      </c>
    </row>
    <row r="96" spans="1:7" x14ac:dyDescent="0.2">
      <c r="A96" s="1">
        <v>38534</v>
      </c>
      <c r="B96" s="4">
        <v>7932710</v>
      </c>
      <c r="C96" s="4">
        <f t="shared" si="3"/>
        <v>7932.71</v>
      </c>
      <c r="D96" s="4">
        <v>81.897999999999996</v>
      </c>
      <c r="E96" s="4">
        <f t="shared" si="4"/>
        <v>9686.0851302840128</v>
      </c>
      <c r="F96" s="4">
        <f>E96/(Working_Age_Population!B96/1000000)</f>
        <v>50.648800836301362</v>
      </c>
      <c r="G96" s="4">
        <f t="shared" si="5"/>
        <v>3.9249155549218542</v>
      </c>
    </row>
    <row r="97" spans="1:7" x14ac:dyDescent="0.2">
      <c r="A97" s="1">
        <v>38626</v>
      </c>
      <c r="B97" s="4">
        <v>8170413</v>
      </c>
      <c r="C97" s="4">
        <f t="shared" si="3"/>
        <v>8170.4129999999996</v>
      </c>
      <c r="D97" s="4">
        <v>82.570999999999998</v>
      </c>
      <c r="E97" s="4">
        <f t="shared" si="4"/>
        <v>9895.0151990408249</v>
      </c>
      <c r="F97" s="4">
        <f>E97/(Working_Age_Population!B97/1000000)</f>
        <v>51.548243241907144</v>
      </c>
      <c r="G97" s="4">
        <f t="shared" si="5"/>
        <v>3.9425181311607851</v>
      </c>
    </row>
    <row r="98" spans="1:7" x14ac:dyDescent="0.2">
      <c r="A98" s="1">
        <v>38718</v>
      </c>
      <c r="B98" s="4">
        <v>8371156</v>
      </c>
      <c r="C98" s="4">
        <f t="shared" si="3"/>
        <v>8371.1560000000009</v>
      </c>
      <c r="D98" s="4">
        <v>83.156000000000006</v>
      </c>
      <c r="E98" s="4">
        <f t="shared" si="4"/>
        <v>10066.809370340085</v>
      </c>
      <c r="F98" s="4">
        <f>E98/(Working_Age_Population!B98/1000000)</f>
        <v>52.298944340027425</v>
      </c>
      <c r="G98" s="4">
        <f t="shared" si="5"/>
        <v>3.9569761861640549</v>
      </c>
    </row>
    <row r="99" spans="1:7" x14ac:dyDescent="0.2">
      <c r="A99" s="1">
        <v>38808</v>
      </c>
      <c r="B99" s="4">
        <v>8420042</v>
      </c>
      <c r="C99" s="4">
        <f t="shared" si="3"/>
        <v>8420.0419999999995</v>
      </c>
      <c r="D99" s="4">
        <v>83.882000000000005</v>
      </c>
      <c r="E99" s="4">
        <f t="shared" si="4"/>
        <v>10037.960468276864</v>
      </c>
      <c r="F99" s="4">
        <f>E99/(Working_Age_Population!B99/1000000)</f>
        <v>52.01827945643381</v>
      </c>
      <c r="G99" s="4">
        <f t="shared" si="5"/>
        <v>3.9515951848182755</v>
      </c>
    </row>
    <row r="100" spans="1:7" x14ac:dyDescent="0.2">
      <c r="A100" s="1">
        <v>38899</v>
      </c>
      <c r="B100" s="4">
        <v>8506974</v>
      </c>
      <c r="C100" s="4">
        <f t="shared" si="3"/>
        <v>8506.9740000000002</v>
      </c>
      <c r="D100" s="4">
        <v>84.468000000000004</v>
      </c>
      <c r="E100" s="4">
        <f t="shared" si="4"/>
        <v>10071.238812331298</v>
      </c>
      <c r="F100" s="4">
        <f>E100/(Working_Age_Population!B100/1000000)</f>
        <v>52.047324310977274</v>
      </c>
      <c r="G100" s="4">
        <f t="shared" si="5"/>
        <v>3.9521533876104784</v>
      </c>
    </row>
    <row r="101" spans="1:7" x14ac:dyDescent="0.2">
      <c r="A101" s="1">
        <v>38991</v>
      </c>
      <c r="B101" s="4">
        <v>8680224</v>
      </c>
      <c r="C101" s="4">
        <f t="shared" si="3"/>
        <v>8680.2240000000002</v>
      </c>
      <c r="D101" s="4">
        <v>84.77</v>
      </c>
      <c r="E101" s="4">
        <f t="shared" si="4"/>
        <v>10239.735755573905</v>
      </c>
      <c r="F101" s="4">
        <f>E101/(Working_Age_Population!B101/1000000)</f>
        <v>52.806877103482826</v>
      </c>
      <c r="G101" s="4">
        <f t="shared" si="5"/>
        <v>3.9666414304026825</v>
      </c>
    </row>
    <row r="102" spans="1:7" x14ac:dyDescent="0.2">
      <c r="A102" s="1">
        <v>39083</v>
      </c>
      <c r="B102" s="4">
        <v>8849665</v>
      </c>
      <c r="C102" s="4">
        <f t="shared" si="3"/>
        <v>8849.6650000000009</v>
      </c>
      <c r="D102" s="4">
        <v>85.575999999999993</v>
      </c>
      <c r="E102" s="4">
        <f t="shared" si="4"/>
        <v>10341.293119566235</v>
      </c>
      <c r="F102" s="4">
        <f>E102/(Working_Age_Population!B102/1000000)</f>
        <v>53.028537839261993</v>
      </c>
      <c r="G102" s="4">
        <f t="shared" si="5"/>
        <v>3.9708302184374422</v>
      </c>
    </row>
    <row r="103" spans="1:7" x14ac:dyDescent="0.2">
      <c r="A103" s="1">
        <v>39173</v>
      </c>
      <c r="B103" s="4">
        <v>8867677</v>
      </c>
      <c r="C103" s="4">
        <f t="shared" si="3"/>
        <v>8867.6769999999997</v>
      </c>
      <c r="D103" s="4">
        <v>86.171000000000006</v>
      </c>
      <c r="E103" s="4">
        <f t="shared" si="4"/>
        <v>10290.790405124693</v>
      </c>
      <c r="F103" s="4">
        <f>E103/(Working_Age_Population!B103/1000000)</f>
        <v>52.654438201414308</v>
      </c>
      <c r="G103" s="4">
        <f t="shared" si="5"/>
        <v>3.9637505313504078</v>
      </c>
    </row>
    <row r="104" spans="1:7" x14ac:dyDescent="0.2">
      <c r="A104" s="1">
        <v>39264</v>
      </c>
      <c r="B104" s="4">
        <v>9007653</v>
      </c>
      <c r="C104" s="4">
        <f t="shared" si="3"/>
        <v>9007.6530000000002</v>
      </c>
      <c r="D104" s="4">
        <v>86.641999999999996</v>
      </c>
      <c r="E104" s="4">
        <f t="shared" si="4"/>
        <v>10396.40474596616</v>
      </c>
      <c r="F104" s="4">
        <f>E104/(Working_Age_Population!B104/1000000)</f>
        <v>53.056533398546165</v>
      </c>
      <c r="G104" s="4">
        <f t="shared" si="5"/>
        <v>3.9713580129632393</v>
      </c>
    </row>
    <row r="105" spans="1:7" x14ac:dyDescent="0.2">
      <c r="A105" s="1">
        <v>39356</v>
      </c>
      <c r="B105" s="4">
        <v>9229172</v>
      </c>
      <c r="C105" s="4">
        <f t="shared" si="3"/>
        <v>9229.1720000000005</v>
      </c>
      <c r="D105" s="4">
        <v>86.992999999999995</v>
      </c>
      <c r="E105" s="4">
        <f t="shared" si="4"/>
        <v>10609.097283689493</v>
      </c>
      <c r="F105" s="4">
        <f>E105/(Working_Age_Population!B105/1000000)</f>
        <v>54.063805221700811</v>
      </c>
      <c r="G105" s="4">
        <f t="shared" si="5"/>
        <v>3.9901649272298125</v>
      </c>
    </row>
    <row r="106" spans="1:7" x14ac:dyDescent="0.2">
      <c r="A106" s="1">
        <v>39448</v>
      </c>
      <c r="B106" s="4">
        <v>9437594</v>
      </c>
      <c r="C106" s="4">
        <f t="shared" si="3"/>
        <v>9437.5939999999991</v>
      </c>
      <c r="D106" s="4">
        <v>87.314999999999998</v>
      </c>
      <c r="E106" s="4">
        <f t="shared" si="4"/>
        <v>10808.674340033213</v>
      </c>
      <c r="F106" s="4">
        <f>E106/(Working_Age_Population!B106/1000000)</f>
        <v>55.084318520494556</v>
      </c>
      <c r="G106" s="4">
        <f t="shared" si="5"/>
        <v>4.0088650752985018</v>
      </c>
    </row>
    <row r="107" spans="1:7" x14ac:dyDescent="0.2">
      <c r="A107" s="1">
        <v>39539</v>
      </c>
      <c r="B107" s="4">
        <v>9492006</v>
      </c>
      <c r="C107" s="4">
        <f t="shared" si="3"/>
        <v>9492.0059999999994</v>
      </c>
      <c r="D107" s="4">
        <v>87.738</v>
      </c>
      <c r="E107" s="4">
        <f t="shared" si="4"/>
        <v>10818.580318676057</v>
      </c>
      <c r="F107" s="4">
        <f>E107/(Working_Age_Population!B107/1000000)</f>
        <v>55.086477942050948</v>
      </c>
      <c r="G107" s="4">
        <f t="shared" si="5"/>
        <v>4.00890427664089</v>
      </c>
    </row>
    <row r="108" spans="1:7" x14ac:dyDescent="0.2">
      <c r="A108" s="1">
        <v>39630</v>
      </c>
      <c r="B108" s="4">
        <v>10024725</v>
      </c>
      <c r="C108" s="4">
        <f t="shared" si="3"/>
        <v>10024.725</v>
      </c>
      <c r="D108" s="4">
        <v>88.399000000000001</v>
      </c>
      <c r="E108" s="4">
        <f t="shared" si="4"/>
        <v>11340.314935689317</v>
      </c>
      <c r="F108" s="4">
        <f>E108/(Working_Age_Population!B108/1000000)</f>
        <v>57.652221471789112</v>
      </c>
      <c r="G108" s="4">
        <f t="shared" si="5"/>
        <v>4.0544287797417704</v>
      </c>
    </row>
    <row r="109" spans="1:7" x14ac:dyDescent="0.2">
      <c r="A109" s="1">
        <v>39722</v>
      </c>
      <c r="B109" s="4">
        <v>10699805</v>
      </c>
      <c r="C109" s="4">
        <f t="shared" si="3"/>
        <v>10699.805</v>
      </c>
      <c r="D109" s="4">
        <v>88.613</v>
      </c>
      <c r="E109" s="4">
        <f t="shared" si="4"/>
        <v>12074.757654068817</v>
      </c>
      <c r="F109" s="4">
        <f>E109/(Working_Age_Population!B109/1000000)</f>
        <v>61.235991023961461</v>
      </c>
      <c r="G109" s="4">
        <f t="shared" si="5"/>
        <v>4.1147351052887515</v>
      </c>
    </row>
    <row r="110" spans="1:7" x14ac:dyDescent="0.2">
      <c r="A110" s="1">
        <v>39814</v>
      </c>
      <c r="B110" s="4">
        <v>11126941</v>
      </c>
      <c r="C110" s="4">
        <f t="shared" si="3"/>
        <v>11126.941000000001</v>
      </c>
      <c r="D110" s="4">
        <v>88.543000000000006</v>
      </c>
      <c r="E110" s="4">
        <f t="shared" si="4"/>
        <v>12566.708830737607</v>
      </c>
      <c r="F110" s="4">
        <f>E110/(Working_Age_Population!B110/1000000)</f>
        <v>63.699119640928799</v>
      </c>
      <c r="G110" s="4">
        <f t="shared" si="5"/>
        <v>4.1541707420890326</v>
      </c>
    </row>
    <row r="111" spans="1:7" x14ac:dyDescent="0.2">
      <c r="A111" s="1">
        <v>39904</v>
      </c>
      <c r="B111" s="4">
        <v>11545275</v>
      </c>
      <c r="C111" s="4">
        <f t="shared" si="3"/>
        <v>11545.275</v>
      </c>
      <c r="D111" s="4">
        <v>88.396000000000001</v>
      </c>
      <c r="E111" s="4">
        <f t="shared" si="4"/>
        <v>13060.856826100729</v>
      </c>
      <c r="F111" s="4">
        <f>E111/(Working_Age_Population!B111/1000000)</f>
        <v>66.030999187172938</v>
      </c>
      <c r="G111" s="4">
        <f t="shared" si="5"/>
        <v>4.1901243164132493</v>
      </c>
    </row>
    <row r="112" spans="1:7" x14ac:dyDescent="0.2">
      <c r="A112" s="1">
        <v>39995</v>
      </c>
      <c r="B112" s="4">
        <v>11909828</v>
      </c>
      <c r="C112" s="4">
        <f t="shared" si="3"/>
        <v>11909.828</v>
      </c>
      <c r="D112" s="4">
        <v>88.501000000000005</v>
      </c>
      <c r="E112" s="4">
        <f t="shared" si="4"/>
        <v>13457.280708692555</v>
      </c>
      <c r="F112" s="4">
        <f>E112/(Working_Age_Population!B112/1000000)</f>
        <v>67.951352717452608</v>
      </c>
      <c r="G112" s="4">
        <f t="shared" si="5"/>
        <v>4.2187920479406129</v>
      </c>
    </row>
    <row r="113" spans="1:7" x14ac:dyDescent="0.2">
      <c r="A113" s="1">
        <v>40087</v>
      </c>
      <c r="B113" s="4">
        <v>12311349</v>
      </c>
      <c r="C113" s="4">
        <f t="shared" si="3"/>
        <v>12311.349</v>
      </c>
      <c r="D113" s="4">
        <v>88.781000000000006</v>
      </c>
      <c r="E113" s="4">
        <f t="shared" si="4"/>
        <v>13867.098816188147</v>
      </c>
      <c r="F113" s="4">
        <f>E113/(Working_Age_Population!B113/1000000)</f>
        <v>69.782930718524341</v>
      </c>
      <c r="G113" s="4">
        <f t="shared" si="5"/>
        <v>4.2453894342823002</v>
      </c>
    </row>
    <row r="114" spans="1:7" x14ac:dyDescent="0.2">
      <c r="A114" s="1">
        <v>40179</v>
      </c>
      <c r="B114" s="4">
        <v>12773123</v>
      </c>
      <c r="C114" s="4">
        <f t="shared" si="3"/>
        <v>12773.123</v>
      </c>
      <c r="D114" s="4">
        <v>89.036000000000001</v>
      </c>
      <c r="E114" s="4">
        <f t="shared" si="4"/>
        <v>14346.020710723751</v>
      </c>
      <c r="F114" s="4">
        <f>E114/(Working_Age_Population!B114/1000000)</f>
        <v>72.295417571317671</v>
      </c>
      <c r="G114" s="4">
        <f t="shared" si="5"/>
        <v>4.2807607463997481</v>
      </c>
    </row>
    <row r="115" spans="1:7" x14ac:dyDescent="0.2">
      <c r="A115" s="1">
        <v>40269</v>
      </c>
      <c r="B115" s="4">
        <v>13201792</v>
      </c>
      <c r="C115" s="4">
        <f t="shared" si="3"/>
        <v>13201.791999999999</v>
      </c>
      <c r="D115" s="4">
        <v>89.471000000000004</v>
      </c>
      <c r="E115" s="4">
        <f t="shared" si="4"/>
        <v>14755.386661599847</v>
      </c>
      <c r="F115" s="4">
        <f>E115/(Working_Age_Population!B115/1000000)</f>
        <v>74.145423830441601</v>
      </c>
      <c r="G115" s="4">
        <f t="shared" si="5"/>
        <v>4.3060283516483588</v>
      </c>
    </row>
    <row r="116" spans="1:7" x14ac:dyDescent="0.2">
      <c r="A116" s="1">
        <v>40360</v>
      </c>
      <c r="B116" s="4">
        <v>13561622</v>
      </c>
      <c r="C116" s="4">
        <f t="shared" si="3"/>
        <v>13561.621999999999</v>
      </c>
      <c r="D116" s="4">
        <v>89.742999999999995</v>
      </c>
      <c r="E116" s="4">
        <f t="shared" si="4"/>
        <v>15111.620962080608</v>
      </c>
      <c r="F116" s="4">
        <f>E116/(Working_Age_Population!B116/1000000)</f>
        <v>75.840661709310254</v>
      </c>
      <c r="G116" s="4">
        <f t="shared" si="5"/>
        <v>4.3286345829787223</v>
      </c>
    </row>
    <row r="117" spans="1:7" x14ac:dyDescent="0.2">
      <c r="A117" s="1">
        <v>40452</v>
      </c>
      <c r="B117" s="4">
        <v>14025215</v>
      </c>
      <c r="C117" s="4">
        <f t="shared" si="3"/>
        <v>14025.215</v>
      </c>
      <c r="D117" s="4">
        <v>90.263999999999996</v>
      </c>
      <c r="E117" s="4">
        <f t="shared" si="4"/>
        <v>15537.994106177435</v>
      </c>
      <c r="F117" s="4">
        <f>E117/(Working_Age_Population!B117/1000000)</f>
        <v>77.705913064541065</v>
      </c>
      <c r="G117" s="4">
        <f t="shared" si="5"/>
        <v>4.3529313556947962</v>
      </c>
    </row>
    <row r="118" spans="1:7" x14ac:dyDescent="0.2">
      <c r="A118" s="1">
        <v>40544</v>
      </c>
      <c r="B118" s="4">
        <v>14270114</v>
      </c>
      <c r="C118" s="4">
        <f t="shared" si="3"/>
        <v>14270.114</v>
      </c>
      <c r="D118" s="4">
        <v>90.725999999999999</v>
      </c>
      <c r="E118" s="4">
        <f t="shared" si="4"/>
        <v>15728.803209664264</v>
      </c>
      <c r="F118" s="4">
        <f>E118/(Working_Age_Population!B118/1000000)</f>
        <v>78.904440153046451</v>
      </c>
      <c r="G118" s="4">
        <f t="shared" si="5"/>
        <v>4.3682375019724216</v>
      </c>
    </row>
    <row r="119" spans="1:7" x14ac:dyDescent="0.2">
      <c r="A119" s="1">
        <v>40634</v>
      </c>
      <c r="B119" s="4">
        <v>14343087</v>
      </c>
      <c r="C119" s="4">
        <f t="shared" si="3"/>
        <v>14343.087</v>
      </c>
      <c r="D119" s="4">
        <v>91.325999999999993</v>
      </c>
      <c r="E119" s="4">
        <f t="shared" si="4"/>
        <v>15705.370869193877</v>
      </c>
      <c r="F119" s="4">
        <f>E119/(Working_Age_Population!B119/1000000)</f>
        <v>78.532875068836532</v>
      </c>
      <c r="G119" s="4">
        <f t="shared" si="5"/>
        <v>4.3635173278058348</v>
      </c>
    </row>
    <row r="120" spans="1:7" x14ac:dyDescent="0.2">
      <c r="A120" s="1">
        <v>40725</v>
      </c>
      <c r="B120" s="4">
        <v>14790340</v>
      </c>
      <c r="C120" s="4">
        <f t="shared" si="3"/>
        <v>14790.34</v>
      </c>
      <c r="D120" s="4">
        <v>91.876000000000005</v>
      </c>
      <c r="E120" s="4">
        <f t="shared" si="4"/>
        <v>16098.154033697592</v>
      </c>
      <c r="F120" s="4">
        <f>E120/(Working_Age_Population!B120/1000000)</f>
        <v>80.425678851694528</v>
      </c>
      <c r="G120" s="4">
        <f t="shared" si="5"/>
        <v>4.3873335138938749</v>
      </c>
    </row>
    <row r="121" spans="1:7" x14ac:dyDescent="0.2">
      <c r="A121" s="1">
        <v>40817</v>
      </c>
      <c r="B121" s="4">
        <v>15222940</v>
      </c>
      <c r="C121" s="4">
        <f t="shared" si="3"/>
        <v>15222.94</v>
      </c>
      <c r="D121" s="4">
        <v>91.984999999999999</v>
      </c>
      <c r="E121" s="4">
        <f t="shared" si="4"/>
        <v>16549.372180246781</v>
      </c>
      <c r="F121" s="4">
        <f>E121/(Working_Age_Population!B121/1000000)</f>
        <v>82.598294240324122</v>
      </c>
      <c r="G121" s="4">
        <f t="shared" si="5"/>
        <v>4.4139890294701676</v>
      </c>
    </row>
    <row r="122" spans="1:7" x14ac:dyDescent="0.2">
      <c r="A122" s="1">
        <v>40909</v>
      </c>
      <c r="B122" s="4">
        <v>15606518</v>
      </c>
      <c r="C122" s="4">
        <f t="shared" si="3"/>
        <v>15606.518</v>
      </c>
      <c r="D122" s="4">
        <v>92.525000000000006</v>
      </c>
      <c r="E122" s="4">
        <f t="shared" si="4"/>
        <v>16867.352607403405</v>
      </c>
      <c r="F122" s="4">
        <f>E122/(Working_Age_Population!B122/1000000)</f>
        <v>83.872709176142436</v>
      </c>
      <c r="G122" s="4">
        <f t="shared" si="5"/>
        <v>4.4293002825628793</v>
      </c>
    </row>
    <row r="123" spans="1:7" x14ac:dyDescent="0.2">
      <c r="A123" s="1">
        <v>41000</v>
      </c>
      <c r="B123" s="4">
        <v>15855037</v>
      </c>
      <c r="C123" s="4">
        <f t="shared" si="3"/>
        <v>15855.037</v>
      </c>
      <c r="D123" s="4">
        <v>92.906999999999996</v>
      </c>
      <c r="E123" s="4">
        <f t="shared" si="4"/>
        <v>17065.492374094527</v>
      </c>
      <c r="F123" s="4">
        <f>E123/(Working_Age_Population!B123/1000000)</f>
        <v>84.697510163542105</v>
      </c>
      <c r="G123" s="4">
        <f t="shared" si="5"/>
        <v>4.4390862052819262</v>
      </c>
    </row>
    <row r="124" spans="1:7" x14ac:dyDescent="0.2">
      <c r="A124" s="1">
        <v>41091</v>
      </c>
      <c r="B124" s="4">
        <v>16066240</v>
      </c>
      <c r="C124" s="4">
        <f t="shared" si="3"/>
        <v>16066.24</v>
      </c>
      <c r="D124" s="4">
        <v>93.417000000000002</v>
      </c>
      <c r="E124" s="4">
        <f t="shared" si="4"/>
        <v>17198.411424044873</v>
      </c>
      <c r="F124" s="4">
        <f>E124/(Working_Age_Population!B124/1000000)</f>
        <v>85.329502121633098</v>
      </c>
      <c r="G124" s="4">
        <f t="shared" si="5"/>
        <v>4.4465202577914393</v>
      </c>
    </row>
    <row r="125" spans="1:7" x14ac:dyDescent="0.2">
      <c r="A125" s="1">
        <v>41183</v>
      </c>
      <c r="B125" s="4">
        <v>16432730</v>
      </c>
      <c r="C125" s="4">
        <f t="shared" si="3"/>
        <v>16432.73</v>
      </c>
      <c r="D125" s="4">
        <v>93.885000000000005</v>
      </c>
      <c r="E125" s="4">
        <f t="shared" si="4"/>
        <v>17503.040954359054</v>
      </c>
      <c r="F125" s="4">
        <f>E125/(Working_Age_Population!B125/1000000)</f>
        <v>86.758468346787694</v>
      </c>
      <c r="G125" s="4">
        <f t="shared" si="5"/>
        <v>4.4631280318930635</v>
      </c>
    </row>
    <row r="126" spans="1:7" x14ac:dyDescent="0.2">
      <c r="A126" s="1">
        <v>41275</v>
      </c>
      <c r="B126" s="4">
        <v>16771381</v>
      </c>
      <c r="C126" s="4">
        <f t="shared" si="3"/>
        <v>16771.381000000001</v>
      </c>
      <c r="D126" s="4">
        <v>94.257999999999996</v>
      </c>
      <c r="E126" s="4">
        <f t="shared" si="4"/>
        <v>17793.058414139916</v>
      </c>
      <c r="F126" s="4">
        <f>E126/(Working_Age_Population!B126/1000000)</f>
        <v>88.137984875664159</v>
      </c>
      <c r="G126" s="4">
        <f t="shared" si="5"/>
        <v>4.4789035963848889</v>
      </c>
    </row>
    <row r="127" spans="1:7" x14ac:dyDescent="0.2">
      <c r="A127" s="1">
        <v>41365</v>
      </c>
      <c r="B127" s="4">
        <v>16738320</v>
      </c>
      <c r="C127" s="4">
        <f t="shared" si="3"/>
        <v>16738.32</v>
      </c>
      <c r="D127" s="4">
        <v>94.460999999999999</v>
      </c>
      <c r="E127" s="4">
        <f t="shared" si="4"/>
        <v>17719.820878457776</v>
      </c>
      <c r="F127" s="4">
        <f>E127/(Working_Age_Population!B127/1000000)</f>
        <v>87.616557855762323</v>
      </c>
      <c r="G127" s="4">
        <f t="shared" si="5"/>
        <v>4.4729699966992467</v>
      </c>
    </row>
    <row r="128" spans="1:7" x14ac:dyDescent="0.2">
      <c r="A128" s="1">
        <v>41456</v>
      </c>
      <c r="B128" s="4">
        <v>16738180</v>
      </c>
      <c r="C128" s="4">
        <f t="shared" si="3"/>
        <v>16738.18</v>
      </c>
      <c r="D128" s="4">
        <v>94.924000000000007</v>
      </c>
      <c r="E128" s="4">
        <f t="shared" si="4"/>
        <v>17633.243436854747</v>
      </c>
      <c r="F128" s="4">
        <f>E128/(Working_Age_Population!B128/1000000)</f>
        <v>87.089486320154506</v>
      </c>
      <c r="G128" s="4">
        <f t="shared" si="5"/>
        <v>4.4669361684228663</v>
      </c>
    </row>
    <row r="129" spans="1:7" x14ac:dyDescent="0.2">
      <c r="A129" s="1">
        <v>41548</v>
      </c>
      <c r="B129" s="4">
        <v>17156119</v>
      </c>
      <c r="C129" s="4">
        <f t="shared" si="3"/>
        <v>17156.118999999999</v>
      </c>
      <c r="D129" s="4">
        <v>95.426000000000002</v>
      </c>
      <c r="E129" s="4">
        <f t="shared" si="4"/>
        <v>17978.453461320812</v>
      </c>
      <c r="F129" s="4">
        <f>E129/(Working_Age_Population!B129/1000000)</f>
        <v>88.685231595042936</v>
      </c>
      <c r="G129" s="4">
        <f t="shared" si="5"/>
        <v>4.4850933770883499</v>
      </c>
    </row>
    <row r="130" spans="1:7" x14ac:dyDescent="0.2">
      <c r="A130" s="1">
        <v>41640</v>
      </c>
      <c r="B130" s="4">
        <v>17601227</v>
      </c>
      <c r="C130" s="4">
        <f t="shared" si="3"/>
        <v>17601.226999999999</v>
      </c>
      <c r="D130" s="4">
        <v>95.787999999999997</v>
      </c>
      <c r="E130" s="4">
        <f t="shared" si="4"/>
        <v>18375.190002923122</v>
      </c>
      <c r="F130" s="4">
        <f>E130/(Working_Age_Population!B130/1000000)</f>
        <v>90.678137161777116</v>
      </c>
      <c r="G130" s="4">
        <f t="shared" si="5"/>
        <v>4.5073162824395343</v>
      </c>
    </row>
    <row r="131" spans="1:7" x14ac:dyDescent="0.2">
      <c r="A131" s="1">
        <v>41730</v>
      </c>
      <c r="B131" s="4">
        <v>17632606</v>
      </c>
      <c r="C131" s="4">
        <f t="shared" ref="C131:C176" si="6">B131/1000</f>
        <v>17632.606</v>
      </c>
      <c r="D131" s="4">
        <v>96.33</v>
      </c>
      <c r="E131" s="4">
        <f t="shared" ref="E131:E176" si="7">C131/(D131/100)</f>
        <v>18304.376622028445</v>
      </c>
      <c r="F131" s="4">
        <f>E131/(Working_Age_Population!B131/1000000)</f>
        <v>90.204773000956308</v>
      </c>
      <c r="G131" s="4">
        <f t="shared" ref="G131:G176" si="8">LN(F131)</f>
        <v>4.5020823414219846</v>
      </c>
    </row>
    <row r="132" spans="1:7" x14ac:dyDescent="0.2">
      <c r="A132" s="1">
        <v>41821</v>
      </c>
      <c r="B132" s="4">
        <v>17824071</v>
      </c>
      <c r="C132" s="4">
        <f t="shared" si="6"/>
        <v>17824.071</v>
      </c>
      <c r="D132" s="4">
        <v>96.725999999999999</v>
      </c>
      <c r="E132" s="4">
        <f t="shared" si="7"/>
        <v>18427.383537001428</v>
      </c>
      <c r="F132" s="4">
        <f>E132/(Working_Age_Population!B132/1000000)</f>
        <v>90.714365396176703</v>
      </c>
      <c r="G132" s="4">
        <f t="shared" si="8"/>
        <v>4.5077157282200426</v>
      </c>
    </row>
    <row r="133" spans="1:7" x14ac:dyDescent="0.2">
      <c r="A133" s="1">
        <v>41913</v>
      </c>
      <c r="B133" s="4">
        <v>18141444</v>
      </c>
      <c r="C133" s="4">
        <f t="shared" si="6"/>
        <v>18141.444</v>
      </c>
      <c r="D133" s="4">
        <v>96.822000000000003</v>
      </c>
      <c r="E133" s="4">
        <f t="shared" si="7"/>
        <v>18736.902770031604</v>
      </c>
      <c r="F133" s="4">
        <f>E133/(Working_Age_Population!B133/1000000)</f>
        <v>92.137207653430139</v>
      </c>
      <c r="G133" s="4">
        <f t="shared" si="8"/>
        <v>4.5232788535724291</v>
      </c>
    </row>
    <row r="134" spans="1:7" x14ac:dyDescent="0.2">
      <c r="A134" s="1">
        <v>42005</v>
      </c>
      <c r="B134" s="4">
        <v>18152056</v>
      </c>
      <c r="C134" s="4">
        <f t="shared" si="6"/>
        <v>18152.056</v>
      </c>
      <c r="D134" s="4">
        <v>96.769000000000005</v>
      </c>
      <c r="E134" s="4">
        <f t="shared" si="7"/>
        <v>18758.13121970879</v>
      </c>
      <c r="F134" s="4">
        <f>E134/(Working_Age_Population!B134/1000000)</f>
        <v>91.98632907597441</v>
      </c>
      <c r="G134" s="4">
        <f t="shared" si="8"/>
        <v>4.5216399690071345</v>
      </c>
    </row>
    <row r="135" spans="1:7" x14ac:dyDescent="0.2">
      <c r="A135" s="1">
        <v>42095</v>
      </c>
      <c r="B135" s="4">
        <v>18151998</v>
      </c>
      <c r="C135" s="4">
        <f t="shared" si="6"/>
        <v>18151.998</v>
      </c>
      <c r="D135" s="4">
        <v>97.325000000000003</v>
      </c>
      <c r="E135" s="4">
        <f t="shared" si="7"/>
        <v>18650.909838171076</v>
      </c>
      <c r="F135" s="4">
        <f>E135/(Working_Age_Population!B135/1000000)</f>
        <v>91.338838980587582</v>
      </c>
      <c r="G135" s="4">
        <f t="shared" si="8"/>
        <v>4.5145760967124984</v>
      </c>
    </row>
    <row r="136" spans="1:7" x14ac:dyDescent="0.2">
      <c r="A136" s="1">
        <v>42186</v>
      </c>
      <c r="B136" s="4">
        <v>18150618</v>
      </c>
      <c r="C136" s="4">
        <f t="shared" si="6"/>
        <v>18150.617999999999</v>
      </c>
      <c r="D136" s="4">
        <v>97.582999999999998</v>
      </c>
      <c r="E136" s="4">
        <f t="shared" si="7"/>
        <v>18600.184458358526</v>
      </c>
      <c r="F136" s="4">
        <f>E136/(Working_Age_Population!B136/1000000)</f>
        <v>90.929339615347018</v>
      </c>
      <c r="G136" s="4">
        <f t="shared" si="8"/>
        <v>4.510082717150655</v>
      </c>
    </row>
    <row r="137" spans="1:7" x14ac:dyDescent="0.2">
      <c r="A137" s="1">
        <v>42278</v>
      </c>
      <c r="B137" s="4">
        <v>18922179</v>
      </c>
      <c r="C137" s="4">
        <f t="shared" si="6"/>
        <v>18922.179</v>
      </c>
      <c r="D137" s="4">
        <v>97.581000000000003</v>
      </c>
      <c r="E137" s="4">
        <f t="shared" si="7"/>
        <v>19391.253420235495</v>
      </c>
      <c r="F137" s="4">
        <f>E137/(Working_Age_Population!B137/1000000)</f>
        <v>94.717755037498748</v>
      </c>
      <c r="G137" s="4">
        <f t="shared" si="8"/>
        <v>4.5509014698149013</v>
      </c>
    </row>
    <row r="138" spans="1:7" x14ac:dyDescent="0.2">
      <c r="A138" s="1">
        <v>42370</v>
      </c>
      <c r="B138" s="4">
        <v>19264939</v>
      </c>
      <c r="C138" s="4">
        <f t="shared" si="6"/>
        <v>19264.938999999998</v>
      </c>
      <c r="D138" s="4">
        <v>97.495999999999995</v>
      </c>
      <c r="E138" s="4">
        <f t="shared" si="7"/>
        <v>19759.722450151799</v>
      </c>
      <c r="F138" s="4">
        <f>E138/(Working_Age_Population!B138/1000000)</f>
        <v>96.331232233935097</v>
      </c>
      <c r="G138" s="4">
        <f t="shared" si="8"/>
        <v>4.5677925884860686</v>
      </c>
    </row>
    <row r="139" spans="1:7" x14ac:dyDescent="0.2">
      <c r="A139" s="1">
        <v>42461</v>
      </c>
      <c r="B139" s="4">
        <v>19381591</v>
      </c>
      <c r="C139" s="4">
        <f t="shared" si="6"/>
        <v>19381.591</v>
      </c>
      <c r="D139" s="4">
        <v>98.159000000000006</v>
      </c>
      <c r="E139" s="4">
        <f t="shared" si="7"/>
        <v>19745.098258947219</v>
      </c>
      <c r="F139" s="4">
        <f>E139/(Working_Age_Population!B139/1000000)</f>
        <v>96.13152625600712</v>
      </c>
      <c r="G139" s="4">
        <f t="shared" si="8"/>
        <v>4.5657173189516564</v>
      </c>
    </row>
    <row r="140" spans="1:7" x14ac:dyDescent="0.2">
      <c r="A140" s="1">
        <v>42552</v>
      </c>
      <c r="B140" s="4">
        <v>19573445</v>
      </c>
      <c r="C140" s="4">
        <f t="shared" si="6"/>
        <v>19573.445</v>
      </c>
      <c r="D140" s="4">
        <v>98.41</v>
      </c>
      <c r="E140" s="4">
        <f t="shared" si="7"/>
        <v>19889.691088304033</v>
      </c>
      <c r="F140" s="4">
        <f>E140/(Working_Age_Population!B140/1000000)</f>
        <v>96.691083424004873</v>
      </c>
      <c r="G140" s="4">
        <f t="shared" si="8"/>
        <v>4.5715211895625254</v>
      </c>
    </row>
    <row r="141" spans="1:7" x14ac:dyDescent="0.2">
      <c r="A141" s="1">
        <v>42644</v>
      </c>
      <c r="B141" s="4">
        <v>19976827</v>
      </c>
      <c r="C141" s="4">
        <f t="shared" si="6"/>
        <v>19976.827000000001</v>
      </c>
      <c r="D141" s="4">
        <v>98.885999999999996</v>
      </c>
      <c r="E141" s="4">
        <f t="shared" si="7"/>
        <v>20201.875897498132</v>
      </c>
      <c r="F141" s="4">
        <f>E141/(Working_Age_Population!B141/1000000)</f>
        <v>98.123581156081201</v>
      </c>
      <c r="G141" s="4">
        <f t="shared" si="8"/>
        <v>4.5862277164421714</v>
      </c>
    </row>
    <row r="142" spans="1:7" x14ac:dyDescent="0.2">
      <c r="A142" s="1">
        <v>42736</v>
      </c>
      <c r="B142" s="4">
        <v>19846420</v>
      </c>
      <c r="C142" s="4">
        <f t="shared" si="6"/>
        <v>19846.419999999998</v>
      </c>
      <c r="D142" s="4">
        <v>99.39</v>
      </c>
      <c r="E142" s="4">
        <f t="shared" si="7"/>
        <v>19968.226179696143</v>
      </c>
      <c r="F142" s="4">
        <f>E142/(Working_Age_Population!B142/1000000)</f>
        <v>97.231738768390315</v>
      </c>
      <c r="G142" s="4">
        <f t="shared" si="8"/>
        <v>4.5770971887058947</v>
      </c>
    </row>
    <row r="143" spans="1:7" x14ac:dyDescent="0.2">
      <c r="A143" s="1">
        <v>42826</v>
      </c>
      <c r="B143" s="4">
        <v>19844554</v>
      </c>
      <c r="C143" s="4">
        <f t="shared" si="6"/>
        <v>19844.554</v>
      </c>
      <c r="D143" s="4">
        <v>99.65</v>
      </c>
      <c r="E143" s="4">
        <f t="shared" si="7"/>
        <v>19914.253888610136</v>
      </c>
      <c r="F143" s="4">
        <f>E143/(Working_Age_Population!B143/1000000)</f>
        <v>96.91670490446117</v>
      </c>
      <c r="G143" s="4">
        <f t="shared" si="8"/>
        <v>4.5738518972736077</v>
      </c>
    </row>
    <row r="144" spans="1:7" x14ac:dyDescent="0.2">
      <c r="A144" s="1">
        <v>42917</v>
      </c>
      <c r="B144" s="4">
        <v>20244900</v>
      </c>
      <c r="C144" s="4">
        <f t="shared" si="6"/>
        <v>20244.900000000001</v>
      </c>
      <c r="D144" s="4">
        <v>100.16200000000001</v>
      </c>
      <c r="E144" s="4">
        <f t="shared" si="7"/>
        <v>20212.156306783014</v>
      </c>
      <c r="F144" s="4">
        <f>E144/(Working_Age_Population!B144/1000000)</f>
        <v>98.247719904619814</v>
      </c>
      <c r="G144" s="4">
        <f t="shared" si="8"/>
        <v>4.5874920434024213</v>
      </c>
    </row>
    <row r="145" spans="1:7" x14ac:dyDescent="0.2">
      <c r="A145" s="1">
        <v>43009</v>
      </c>
      <c r="B145" s="4">
        <v>20492747</v>
      </c>
      <c r="C145" s="4">
        <f t="shared" si="6"/>
        <v>20492.746999999999</v>
      </c>
      <c r="D145" s="4">
        <v>100.77800000000001</v>
      </c>
      <c r="E145" s="4">
        <f t="shared" si="7"/>
        <v>20334.544245767924</v>
      </c>
      <c r="F145" s="4">
        <f>E145/(Working_Age_Population!B145/1000000)</f>
        <v>98.810510279105713</v>
      </c>
      <c r="G145" s="4">
        <f t="shared" si="8"/>
        <v>4.5932039784391163</v>
      </c>
    </row>
    <row r="146" spans="1:7" x14ac:dyDescent="0.2">
      <c r="A146" s="1">
        <v>43101</v>
      </c>
      <c r="B146" s="4">
        <v>21089643</v>
      </c>
      <c r="C146" s="4">
        <f t="shared" si="6"/>
        <v>21089.643</v>
      </c>
      <c r="D146" s="4">
        <v>101.419</v>
      </c>
      <c r="E146" s="4">
        <f t="shared" si="7"/>
        <v>20794.568078959564</v>
      </c>
      <c r="F146" s="4">
        <f>E146/(Working_Age_Population!B146/1000000)</f>
        <v>100.80704553334586</v>
      </c>
      <c r="G146" s="4">
        <f t="shared" si="8"/>
        <v>4.6132082493587907</v>
      </c>
    </row>
    <row r="147" spans="1:7" x14ac:dyDescent="0.2">
      <c r="A147" s="1">
        <v>43191</v>
      </c>
      <c r="B147" s="4">
        <v>21195070</v>
      </c>
      <c r="C147" s="4">
        <f t="shared" si="6"/>
        <v>21195.07</v>
      </c>
      <c r="D147" s="4">
        <v>102.136</v>
      </c>
      <c r="E147" s="4">
        <f t="shared" si="7"/>
        <v>20751.811310409648</v>
      </c>
      <c r="F147" s="4">
        <f>E147/(Working_Age_Population!B147/1000000)</f>
        <v>100.5446116356128</v>
      </c>
      <c r="G147" s="4">
        <f t="shared" si="8"/>
        <v>4.6106015258778292</v>
      </c>
    </row>
    <row r="148" spans="1:7" x14ac:dyDescent="0.2">
      <c r="A148" s="1">
        <v>43282</v>
      </c>
      <c r="B148" s="4">
        <v>21516058</v>
      </c>
      <c r="C148" s="4">
        <f t="shared" si="6"/>
        <v>21516.058000000001</v>
      </c>
      <c r="D148" s="4">
        <v>102.577</v>
      </c>
      <c r="E148" s="4">
        <f t="shared" si="7"/>
        <v>20975.518878501029</v>
      </c>
      <c r="F148" s="4">
        <f>E148/(Working_Age_Population!B148/1000000)</f>
        <v>101.48901177709855</v>
      </c>
      <c r="G148" s="4">
        <f t="shared" si="8"/>
        <v>4.6199505342677742</v>
      </c>
    </row>
    <row r="149" spans="1:7" x14ac:dyDescent="0.2">
      <c r="A149" s="1">
        <v>43374</v>
      </c>
      <c r="B149" s="4">
        <v>21974096</v>
      </c>
      <c r="C149" s="4">
        <f t="shared" si="6"/>
        <v>21974.096000000001</v>
      </c>
      <c r="D149" s="4">
        <v>103.01900000000001</v>
      </c>
      <c r="E149" s="4">
        <f t="shared" si="7"/>
        <v>21330.139100554265</v>
      </c>
      <c r="F149" s="4">
        <f>E149/(Working_Age_Population!B149/1000000)</f>
        <v>103.19230847649023</v>
      </c>
      <c r="G149" s="4">
        <f t="shared" si="8"/>
        <v>4.6365943200033763</v>
      </c>
    </row>
    <row r="150" spans="1:7" x14ac:dyDescent="0.2">
      <c r="A150" s="1">
        <v>43466</v>
      </c>
      <c r="B150" s="4">
        <v>22027880</v>
      </c>
      <c r="C150" s="4">
        <f t="shared" si="6"/>
        <v>22027.88</v>
      </c>
      <c r="D150" s="4">
        <v>103.328</v>
      </c>
      <c r="E150" s="4">
        <f t="shared" si="7"/>
        <v>21318.403530504802</v>
      </c>
      <c r="F150" s="4">
        <f>E150/(Working_Age_Population!B150/1000000)</f>
        <v>103.37037649856958</v>
      </c>
      <c r="G150" s="4">
        <f t="shared" si="8"/>
        <v>4.6383184268158963</v>
      </c>
    </row>
    <row r="151" spans="1:7" x14ac:dyDescent="0.2">
      <c r="A151" s="1">
        <v>43556</v>
      </c>
      <c r="B151" s="4">
        <v>22023283</v>
      </c>
      <c r="C151" s="4">
        <f t="shared" si="6"/>
        <v>22023.282999999999</v>
      </c>
      <c r="D151" s="4">
        <v>103.86199999999999</v>
      </c>
      <c r="E151" s="4">
        <f t="shared" si="7"/>
        <v>21204.370222025384</v>
      </c>
      <c r="F151" s="4">
        <f>E151/(Working_Age_Population!B151/1000000)</f>
        <v>102.75016611701756</v>
      </c>
      <c r="G151" s="4">
        <f t="shared" si="8"/>
        <v>4.6323004700856707</v>
      </c>
    </row>
    <row r="152" spans="1:7" x14ac:dyDescent="0.2">
      <c r="A152" s="1">
        <v>43647</v>
      </c>
      <c r="B152" s="4">
        <v>22719402</v>
      </c>
      <c r="C152" s="4">
        <f t="shared" si="6"/>
        <v>22719.401999999998</v>
      </c>
      <c r="D152" s="4">
        <v>104.19199999999999</v>
      </c>
      <c r="E152" s="4">
        <f t="shared" si="7"/>
        <v>21805.322865479116</v>
      </c>
      <c r="F152" s="4">
        <f>E152/(Working_Age_Population!B152/1000000)</f>
        <v>105.66406673178983</v>
      </c>
      <c r="G152" s="4">
        <f t="shared" si="8"/>
        <v>4.6602648798445356</v>
      </c>
    </row>
    <row r="153" spans="1:7" x14ac:dyDescent="0.2">
      <c r="A153" s="1">
        <v>43739</v>
      </c>
      <c r="B153" s="4">
        <v>23201380</v>
      </c>
      <c r="C153" s="4">
        <f t="shared" si="6"/>
        <v>23201.38</v>
      </c>
      <c r="D153" s="4">
        <v>104.51600000000001</v>
      </c>
      <c r="E153" s="4">
        <f t="shared" si="7"/>
        <v>22198.878640590912</v>
      </c>
      <c r="F153" s="4">
        <f>E153/(Working_Age_Population!B153/1000000)</f>
        <v>107.62687370988027</v>
      </c>
      <c r="G153" s="4">
        <f t="shared" si="8"/>
        <v>4.6786703722119611</v>
      </c>
    </row>
    <row r="154" spans="1:7" x14ac:dyDescent="0.2">
      <c r="A154" s="1">
        <v>43831</v>
      </c>
      <c r="B154" s="4">
        <v>23223813</v>
      </c>
      <c r="C154" s="4">
        <f t="shared" si="6"/>
        <v>23223.812999999998</v>
      </c>
      <c r="D154" s="4">
        <v>105.032</v>
      </c>
      <c r="E154" s="4">
        <f t="shared" si="7"/>
        <v>22111.178497981567</v>
      </c>
      <c r="F154" s="4">
        <f>E154/(Working_Age_Population!B154/1000000)</f>
        <v>107.5749021269274</v>
      </c>
      <c r="G154" s="4">
        <f t="shared" si="8"/>
        <v>4.6781873689118152</v>
      </c>
    </row>
    <row r="155" spans="1:7" x14ac:dyDescent="0.2">
      <c r="A155" s="1">
        <v>43922</v>
      </c>
      <c r="B155" s="4">
        <v>26477241</v>
      </c>
      <c r="C155" s="4">
        <f t="shared" si="6"/>
        <v>26477.241000000002</v>
      </c>
      <c r="D155" s="4">
        <v>104.614</v>
      </c>
      <c r="E155" s="4">
        <f t="shared" si="7"/>
        <v>25309.462404649472</v>
      </c>
      <c r="F155" s="4">
        <f>E155/(Working_Age_Population!B155/1000000)</f>
        <v>122.61585948883987</v>
      </c>
      <c r="G155" s="4">
        <f t="shared" si="8"/>
        <v>4.8090563747512105</v>
      </c>
    </row>
    <row r="156" spans="1:7" x14ac:dyDescent="0.2">
      <c r="A156" s="1">
        <v>44013</v>
      </c>
      <c r="B156" s="4">
        <v>26945391</v>
      </c>
      <c r="C156" s="4">
        <f t="shared" si="6"/>
        <v>26945.391</v>
      </c>
      <c r="D156" s="4">
        <v>105.572</v>
      </c>
      <c r="E156" s="4">
        <f t="shared" si="7"/>
        <v>25523.236274769824</v>
      </c>
      <c r="F156" s="4">
        <f>E156/(Working_Age_Population!B156/1000000)</f>
        <v>124.0723843673015</v>
      </c>
      <c r="G156" s="4">
        <f t="shared" si="8"/>
        <v>4.820865140189853</v>
      </c>
    </row>
    <row r="157" spans="1:7" x14ac:dyDescent="0.2">
      <c r="A157" s="1">
        <v>44105</v>
      </c>
      <c r="B157" s="4">
        <v>27747798</v>
      </c>
      <c r="C157" s="4">
        <f t="shared" si="6"/>
        <v>27747.797999999999</v>
      </c>
      <c r="D157" s="4">
        <v>106.23</v>
      </c>
      <c r="E157" s="4">
        <f t="shared" si="7"/>
        <v>26120.49138661395</v>
      </c>
      <c r="F157" s="4">
        <f>E157/(Working_Age_Population!B157/1000000)</f>
        <v>126.71212050191993</v>
      </c>
      <c r="G157" s="4">
        <f t="shared" si="8"/>
        <v>4.8419177457502593</v>
      </c>
    </row>
    <row r="158" spans="1:7" x14ac:dyDescent="0.2">
      <c r="A158" s="1">
        <v>44197</v>
      </c>
      <c r="B158" s="4">
        <v>28132570</v>
      </c>
      <c r="C158" s="4">
        <f t="shared" si="6"/>
        <v>28132.57</v>
      </c>
      <c r="D158" s="4">
        <v>107.583</v>
      </c>
      <c r="E158" s="4">
        <f t="shared" si="7"/>
        <v>26149.642601526262</v>
      </c>
      <c r="F158" s="4">
        <f>E158/(Working_Age_Population!B158/1000000)</f>
        <v>127.49059437608175</v>
      </c>
      <c r="G158" s="4">
        <f t="shared" si="8"/>
        <v>4.848042592278011</v>
      </c>
    </row>
    <row r="159" spans="1:7" x14ac:dyDescent="0.2">
      <c r="A159" s="1">
        <v>44287</v>
      </c>
      <c r="B159" s="4">
        <v>28529436</v>
      </c>
      <c r="C159" s="4">
        <f t="shared" si="6"/>
        <v>28529.436000000002</v>
      </c>
      <c r="D159" s="4">
        <v>109.258</v>
      </c>
      <c r="E159" s="4">
        <f t="shared" si="7"/>
        <v>26111.988138168377</v>
      </c>
      <c r="F159" s="4">
        <f>E159/(Working_Age_Population!B159/1000000)</f>
        <v>127.0721080385558</v>
      </c>
      <c r="G159" s="4">
        <f t="shared" si="8"/>
        <v>4.8447547051637576</v>
      </c>
    </row>
    <row r="160" spans="1:7" x14ac:dyDescent="0.2">
      <c r="A160" s="1">
        <v>44378</v>
      </c>
      <c r="B160" s="4">
        <v>28428919</v>
      </c>
      <c r="C160" s="4">
        <f t="shared" si="6"/>
        <v>28428.919000000002</v>
      </c>
      <c r="D160" s="4">
        <v>110.938</v>
      </c>
      <c r="E160" s="4">
        <f t="shared" si="7"/>
        <v>25625.952333735961</v>
      </c>
      <c r="F160" s="4">
        <f>E160/(Working_Age_Population!B160/1000000)</f>
        <v>124.78194506264256</v>
      </c>
      <c r="G160" s="4">
        <f t="shared" si="8"/>
        <v>4.8265677744970574</v>
      </c>
    </row>
    <row r="161" spans="1:7" x14ac:dyDescent="0.2">
      <c r="A161" s="1">
        <v>44470</v>
      </c>
      <c r="B161" s="4">
        <v>29617215</v>
      </c>
      <c r="C161" s="4">
        <f t="shared" si="6"/>
        <v>29617.215</v>
      </c>
      <c r="D161" s="4">
        <v>112.84699999999999</v>
      </c>
      <c r="E161" s="4">
        <f t="shared" si="7"/>
        <v>26245.460667984087</v>
      </c>
      <c r="F161" s="4">
        <f>E161/(Working_Age_Population!B161/1000000)</f>
        <v>127.78210608666483</v>
      </c>
      <c r="G161" s="4">
        <f t="shared" si="8"/>
        <v>4.8503265171690995</v>
      </c>
    </row>
    <row r="162" spans="1:7" x14ac:dyDescent="0.2">
      <c r="A162" s="1">
        <v>44562</v>
      </c>
      <c r="B162" s="4">
        <v>30400960</v>
      </c>
      <c r="C162" s="4">
        <f t="shared" si="6"/>
        <v>30400.959999999999</v>
      </c>
      <c r="D162" s="4">
        <v>115.126</v>
      </c>
      <c r="E162" s="4">
        <f t="shared" si="7"/>
        <v>26406.684849642999</v>
      </c>
      <c r="F162" s="4">
        <f>E162/(Working_Age_Population!B162/1000000)</f>
        <v>127.61648991574127</v>
      </c>
      <c r="G162" s="4">
        <f t="shared" si="8"/>
        <v>4.8490295938756294</v>
      </c>
    </row>
    <row r="163" spans="1:7" x14ac:dyDescent="0.2">
      <c r="A163" s="1">
        <v>44652</v>
      </c>
      <c r="B163" s="4">
        <v>30568582</v>
      </c>
      <c r="C163" s="4">
        <f t="shared" si="6"/>
        <v>30568.581999999999</v>
      </c>
      <c r="D163" s="4">
        <v>117.72799999999999</v>
      </c>
      <c r="E163" s="4">
        <f t="shared" si="7"/>
        <v>25965.430483827127</v>
      </c>
      <c r="F163" s="4">
        <f>E163/(Working_Age_Population!B163/1000000)</f>
        <v>125.35972846034937</v>
      </c>
      <c r="G163" s="4">
        <f t="shared" si="8"/>
        <v>4.831187431966522</v>
      </c>
    </row>
    <row r="164" spans="1:7" x14ac:dyDescent="0.2">
      <c r="A164" s="1">
        <v>44743</v>
      </c>
      <c r="B164" s="4">
        <v>30928912</v>
      </c>
      <c r="C164" s="4">
        <f t="shared" si="6"/>
        <v>30928.912</v>
      </c>
      <c r="D164" s="4">
        <v>119.03100000000001</v>
      </c>
      <c r="E164" s="4">
        <f t="shared" si="7"/>
        <v>25983.913434315433</v>
      </c>
      <c r="F164" s="4">
        <f>E164/(Working_Age_Population!B164/1000000)</f>
        <v>125.23581047761944</v>
      </c>
      <c r="G164" s="4">
        <f t="shared" si="8"/>
        <v>4.8301984439473777</v>
      </c>
    </row>
    <row r="165" spans="1:7" x14ac:dyDescent="0.2">
      <c r="A165" s="1">
        <v>44835</v>
      </c>
      <c r="B165" s="4">
        <v>31419689</v>
      </c>
      <c r="C165" s="4">
        <f t="shared" si="6"/>
        <v>31419.688999999998</v>
      </c>
      <c r="D165" s="4">
        <v>120.164</v>
      </c>
      <c r="E165" s="4">
        <f t="shared" si="7"/>
        <v>26147.339469391831</v>
      </c>
      <c r="F165" s="4">
        <f>E165/(Working_Age_Population!B165/1000000)</f>
        <v>125.93494462270587</v>
      </c>
      <c r="G165" s="4">
        <f t="shared" si="8"/>
        <v>4.8357654610980649</v>
      </c>
    </row>
    <row r="166" spans="1:7" x14ac:dyDescent="0.2">
      <c r="A166" s="1">
        <v>44927</v>
      </c>
      <c r="B166" s="4">
        <v>31458438</v>
      </c>
      <c r="C166" s="4">
        <f t="shared" si="6"/>
        <v>31458.437999999998</v>
      </c>
      <c r="D166" s="4">
        <v>121.288</v>
      </c>
      <c r="E166" s="4">
        <f t="shared" si="7"/>
        <v>25936.974803772839</v>
      </c>
      <c r="F166" s="4">
        <f>E166/(Working_Age_Population!B166/1000000)</f>
        <v>124.57184326635095</v>
      </c>
      <c r="G166" s="4">
        <f t="shared" si="8"/>
        <v>4.8248826038211261</v>
      </c>
    </row>
    <row r="167" spans="1:7" x14ac:dyDescent="0.2">
      <c r="A167" s="1">
        <v>45017</v>
      </c>
      <c r="B167" s="4">
        <v>32332274</v>
      </c>
      <c r="C167" s="4">
        <f t="shared" si="6"/>
        <v>32332.274000000001</v>
      </c>
      <c r="D167" s="4">
        <v>121.92</v>
      </c>
      <c r="E167" s="4">
        <f t="shared" si="7"/>
        <v>26519.253608923886</v>
      </c>
      <c r="F167" s="4">
        <f>E167/(Working_Age_Population!B167/1000000)</f>
        <v>127.21836605632059</v>
      </c>
      <c r="G167" s="4">
        <f t="shared" si="8"/>
        <v>4.8459050277184126</v>
      </c>
    </row>
    <row r="168" spans="1:7" x14ac:dyDescent="0.2">
      <c r="A168" s="1">
        <v>45108</v>
      </c>
      <c r="B168" s="4">
        <v>33167334</v>
      </c>
      <c r="C168" s="4">
        <f t="shared" si="6"/>
        <v>33167.334000000003</v>
      </c>
      <c r="D168" s="4">
        <v>122.914</v>
      </c>
      <c r="E168" s="4">
        <f t="shared" si="7"/>
        <v>26984.179182192427</v>
      </c>
      <c r="F168" s="4">
        <f>E168/(Working_Age_Population!B168/1000000)</f>
        <v>129.1810585279203</v>
      </c>
      <c r="G168" s="4">
        <f t="shared" si="8"/>
        <v>4.8612149747797675</v>
      </c>
    </row>
    <row r="169" spans="1:7" x14ac:dyDescent="0.2">
      <c r="A169" s="1">
        <v>45200</v>
      </c>
      <c r="B169" s="4">
        <v>34001494</v>
      </c>
      <c r="C169" s="4">
        <f t="shared" si="6"/>
        <v>34001.493999999999</v>
      </c>
      <c r="D169" s="4">
        <v>123.405</v>
      </c>
      <c r="E169" s="4">
        <f t="shared" si="7"/>
        <v>27552.76852639682</v>
      </c>
      <c r="F169" s="4">
        <f>E169/(Working_Age_Population!B169/1000000)</f>
        <v>131.73736346619458</v>
      </c>
      <c r="G169" s="4">
        <f t="shared" si="8"/>
        <v>4.8808102698514686</v>
      </c>
    </row>
    <row r="170" spans="1:7" x14ac:dyDescent="0.2">
      <c r="A170" s="1">
        <v>45292</v>
      </c>
      <c r="B170" s="4">
        <v>34586533</v>
      </c>
      <c r="C170" s="4">
        <f t="shared" si="6"/>
        <v>34586.533000000003</v>
      </c>
      <c r="D170" s="4">
        <v>124.374</v>
      </c>
      <c r="E170" s="4">
        <f t="shared" si="7"/>
        <v>27808.491324553368</v>
      </c>
      <c r="F170" s="4">
        <f>E170/(Working_Age_Population!B170/1000000)</f>
        <v>133.40575209434942</v>
      </c>
      <c r="G170" s="4">
        <f t="shared" si="8"/>
        <v>4.8933952516999666</v>
      </c>
    </row>
    <row r="171" spans="1:7" x14ac:dyDescent="0.2">
      <c r="A171" s="1">
        <v>45383</v>
      </c>
      <c r="B171" s="4">
        <v>34831634</v>
      </c>
      <c r="C171" s="4">
        <f t="shared" si="6"/>
        <v>34831.633999999998</v>
      </c>
      <c r="D171" s="4">
        <v>125.167</v>
      </c>
      <c r="E171" s="4">
        <f t="shared" si="7"/>
        <v>27828.128819896614</v>
      </c>
      <c r="F171" s="4">
        <f>E171/(Working_Age_Population!B171/1000000)</f>
        <v>133.3492418537775</v>
      </c>
      <c r="G171" s="4">
        <f t="shared" si="8"/>
        <v>4.8929715652258663</v>
      </c>
    </row>
    <row r="172" spans="1:7" x14ac:dyDescent="0.2">
      <c r="A172" s="1">
        <v>45474</v>
      </c>
      <c r="B172" s="4">
        <v>35464674</v>
      </c>
      <c r="C172" s="4">
        <f t="shared" si="6"/>
        <v>35464.673999999999</v>
      </c>
      <c r="D172" s="4">
        <v>125.696</v>
      </c>
      <c r="E172" s="4">
        <f t="shared" si="7"/>
        <v>28214.640084012219</v>
      </c>
      <c r="F172" s="4">
        <f>E172/(Working_Age_Population!B172/1000000)</f>
        <v>134.93801872684395</v>
      </c>
      <c r="G172" s="4">
        <f t="shared" si="8"/>
        <v>4.9048155524684258</v>
      </c>
    </row>
    <row r="173" spans="1:7" x14ac:dyDescent="0.2">
      <c r="A173" s="1">
        <v>45566</v>
      </c>
      <c r="B173" s="4">
        <v>36218605</v>
      </c>
      <c r="C173" s="4">
        <f t="shared" si="6"/>
        <v>36218.605000000003</v>
      </c>
      <c r="D173" s="4">
        <v>126.45</v>
      </c>
      <c r="E173" s="4">
        <f t="shared" si="7"/>
        <v>28642.62949782523</v>
      </c>
      <c r="F173" s="4">
        <f>E173/(Working_Age_Population!B173/1000000)</f>
        <v>136.70466112904157</v>
      </c>
      <c r="G173" s="4">
        <f t="shared" si="8"/>
        <v>4.917822840654388</v>
      </c>
    </row>
    <row r="174" spans="1:7" x14ac:dyDescent="0.2">
      <c r="A174" s="1">
        <v>45658</v>
      </c>
      <c r="B174" s="4">
        <v>36214309.520796463</v>
      </c>
      <c r="C174" s="4">
        <f t="shared" si="6"/>
        <v>36214.309520796465</v>
      </c>
      <c r="D174" s="4">
        <v>127.577</v>
      </c>
      <c r="E174" s="4">
        <f t="shared" si="7"/>
        <v>28386.236955561319</v>
      </c>
      <c r="F174" s="4">
        <f>E174/(Working_Age_Population!B174/1000000)</f>
        <v>134.25787719362097</v>
      </c>
      <c r="G174" s="4">
        <f t="shared" si="8"/>
        <v>4.899762407225329</v>
      </c>
    </row>
    <row r="175" spans="1:7" x14ac:dyDescent="0.2">
      <c r="A175" s="1">
        <v>45748</v>
      </c>
      <c r="B175" s="4">
        <v>36211469</v>
      </c>
      <c r="C175" s="4">
        <f t="shared" si="6"/>
        <v>36211.468999999997</v>
      </c>
      <c r="D175" s="4">
        <v>128.24799999999999</v>
      </c>
      <c r="E175" s="4">
        <f t="shared" si="7"/>
        <v>28235.503867506708</v>
      </c>
      <c r="F175" s="4">
        <f>E175/(Working_Age_Population!B175/1000000)</f>
        <v>133.33690907329648</v>
      </c>
      <c r="G175" s="4">
        <f t="shared" si="8"/>
        <v>4.8928790761299981</v>
      </c>
    </row>
    <row r="176" spans="1:7" x14ac:dyDescent="0.2">
      <c r="A176" s="1">
        <v>45839</v>
      </c>
      <c r="B176" s="4">
        <v>37637552.59555763</v>
      </c>
      <c r="C176" s="4">
        <f t="shared" si="6"/>
        <v>37637.55259555763</v>
      </c>
      <c r="D176" s="4">
        <v>129.43</v>
      </c>
      <c r="E176" s="4">
        <f t="shared" si="7"/>
        <v>29079.465808203375</v>
      </c>
      <c r="F176" s="4">
        <f>E176/(Working_Age_Population!B176/1000000)</f>
        <v>137.03695582872058</v>
      </c>
      <c r="G176" s="4">
        <f t="shared" si="8"/>
        <v>4.9202506400265831</v>
      </c>
    </row>
    <row r="177" spans="1:7" x14ac:dyDescent="0.2">
      <c r="A177" s="1"/>
      <c r="B177" s="4"/>
      <c r="C177" s="4"/>
      <c r="D177" s="4"/>
      <c r="E177" s="4"/>
      <c r="F177" s="4"/>
      <c r="G17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1C9B-EC98-E844-B1D7-28313B86665A}">
  <dimension ref="A1:E531"/>
  <sheetViews>
    <sheetView showGridLines="0" topLeftCell="A167" workbookViewId="0">
      <selection activeCell="L204" sqref="L204"/>
    </sheetView>
  </sheetViews>
  <sheetFormatPr baseColWidth="10" defaultColWidth="11" defaultRowHeight="16" x14ac:dyDescent="0.2"/>
  <cols>
    <col min="1" max="1" width="10.5" bestFit="1" customWidth="1"/>
    <col min="2" max="2" width="9.5" bestFit="1" customWidth="1"/>
  </cols>
  <sheetData>
    <row r="1" spans="1:5" x14ac:dyDescent="0.2">
      <c r="A1" s="7" t="s">
        <v>8</v>
      </c>
      <c r="B1" s="7" t="s">
        <v>7</v>
      </c>
      <c r="D1" s="26"/>
      <c r="E1" s="26"/>
    </row>
    <row r="2" spans="1:5" x14ac:dyDescent="0.2">
      <c r="A2" s="1">
        <v>29952</v>
      </c>
      <c r="B2" s="4">
        <v>14.23</v>
      </c>
      <c r="C2">
        <f>B2/100</f>
        <v>0.14230000000000001</v>
      </c>
      <c r="D2" s="2"/>
      <c r="E2" s="22"/>
    </row>
    <row r="3" spans="1:5" x14ac:dyDescent="0.2">
      <c r="A3" s="1">
        <v>30042</v>
      </c>
      <c r="B3" s="4">
        <v>14.51</v>
      </c>
      <c r="C3">
        <f t="shared" ref="C3:C66" si="0">B3/100</f>
        <v>0.14510000000000001</v>
      </c>
      <c r="D3" s="2"/>
      <c r="E3" s="22"/>
    </row>
    <row r="4" spans="1:5" x14ac:dyDescent="0.2">
      <c r="A4" s="1">
        <v>30133</v>
      </c>
      <c r="B4" s="4">
        <v>11.01</v>
      </c>
      <c r="C4">
        <f t="shared" si="0"/>
        <v>0.1101</v>
      </c>
      <c r="D4" s="2"/>
      <c r="E4" s="22"/>
    </row>
    <row r="5" spans="1:5" x14ac:dyDescent="0.2">
      <c r="A5" s="1">
        <v>30225</v>
      </c>
      <c r="B5" s="4">
        <v>9.2899999999999991</v>
      </c>
      <c r="C5">
        <f t="shared" si="0"/>
        <v>9.2899999999999996E-2</v>
      </c>
      <c r="D5" s="2"/>
      <c r="E5" s="22"/>
    </row>
    <row r="6" spans="1:5" x14ac:dyDescent="0.2">
      <c r="A6" s="1">
        <v>30317</v>
      </c>
      <c r="B6" s="4">
        <v>8.65</v>
      </c>
      <c r="C6">
        <f t="shared" si="0"/>
        <v>8.6500000000000007E-2</v>
      </c>
      <c r="D6" s="2"/>
      <c r="E6" s="22"/>
    </row>
    <row r="7" spans="1:5" x14ac:dyDescent="0.2">
      <c r="A7" s="1">
        <v>30407</v>
      </c>
      <c r="B7" s="4">
        <v>8.8000000000000007</v>
      </c>
      <c r="C7">
        <f t="shared" si="0"/>
        <v>8.8000000000000009E-2</v>
      </c>
      <c r="D7" s="2"/>
      <c r="E7" s="22"/>
    </row>
    <row r="8" spans="1:5" x14ac:dyDescent="0.2">
      <c r="A8" s="1">
        <v>30498</v>
      </c>
      <c r="B8" s="4">
        <v>9.4600000000000009</v>
      </c>
      <c r="C8">
        <f t="shared" si="0"/>
        <v>9.4600000000000004E-2</v>
      </c>
      <c r="D8" s="2"/>
      <c r="E8" s="22"/>
    </row>
    <row r="9" spans="1:5" x14ac:dyDescent="0.2">
      <c r="A9" s="1">
        <v>30590</v>
      </c>
      <c r="B9" s="4">
        <v>9.43</v>
      </c>
      <c r="C9">
        <f t="shared" si="0"/>
        <v>9.4299999999999995E-2</v>
      </c>
      <c r="D9" s="2"/>
      <c r="E9" s="22"/>
    </row>
    <row r="10" spans="1:5" x14ac:dyDescent="0.2">
      <c r="A10" s="1">
        <v>30682</v>
      </c>
      <c r="B10" s="4">
        <v>9.69</v>
      </c>
      <c r="C10">
        <f t="shared" si="0"/>
        <v>9.69E-2</v>
      </c>
      <c r="D10" s="2"/>
      <c r="E10" s="22"/>
    </row>
    <row r="11" spans="1:5" x14ac:dyDescent="0.2">
      <c r="A11" s="1">
        <v>30773</v>
      </c>
      <c r="B11" s="4">
        <v>10.56</v>
      </c>
      <c r="C11">
        <f t="shared" si="0"/>
        <v>0.1056</v>
      </c>
      <c r="D11" s="2"/>
      <c r="E11" s="22"/>
    </row>
    <row r="12" spans="1:5" x14ac:dyDescent="0.2">
      <c r="A12" s="1">
        <v>30864</v>
      </c>
      <c r="B12" s="4">
        <v>11.39</v>
      </c>
      <c r="C12">
        <f t="shared" si="0"/>
        <v>0.1139</v>
      </c>
      <c r="D12" s="2"/>
      <c r="E12" s="22"/>
    </row>
    <row r="13" spans="1:5" x14ac:dyDescent="0.2">
      <c r="A13" s="1">
        <v>30956</v>
      </c>
      <c r="B13" s="4">
        <v>9.27</v>
      </c>
      <c r="C13">
        <f t="shared" si="0"/>
        <v>9.2699999999999991E-2</v>
      </c>
      <c r="D13" s="2"/>
      <c r="E13" s="22"/>
    </row>
    <row r="14" spans="1:5" x14ac:dyDescent="0.2">
      <c r="A14" s="1">
        <v>31048</v>
      </c>
      <c r="B14" s="4">
        <v>8.48</v>
      </c>
      <c r="C14">
        <f t="shared" si="0"/>
        <v>8.48E-2</v>
      </c>
      <c r="D14" s="2"/>
      <c r="E14" s="22"/>
    </row>
    <row r="15" spans="1:5" x14ac:dyDescent="0.2">
      <c r="A15" s="1">
        <v>31138</v>
      </c>
      <c r="B15" s="4">
        <v>7.92</v>
      </c>
      <c r="C15">
        <f t="shared" si="0"/>
        <v>7.9199999999999993E-2</v>
      </c>
      <c r="D15" s="2"/>
      <c r="E15" s="22"/>
    </row>
    <row r="16" spans="1:5" x14ac:dyDescent="0.2">
      <c r="A16" s="1">
        <v>31229</v>
      </c>
      <c r="B16" s="4">
        <v>7.9</v>
      </c>
      <c r="C16">
        <f t="shared" si="0"/>
        <v>7.9000000000000001E-2</v>
      </c>
      <c r="D16" s="2"/>
      <c r="E16" s="22"/>
    </row>
    <row r="17" spans="1:5" x14ac:dyDescent="0.2">
      <c r="A17" s="1">
        <v>31321</v>
      </c>
      <c r="B17" s="4">
        <v>8.1</v>
      </c>
      <c r="C17">
        <f t="shared" si="0"/>
        <v>8.1000000000000003E-2</v>
      </c>
      <c r="D17" s="2"/>
      <c r="E17" s="22"/>
    </row>
    <row r="18" spans="1:5" x14ac:dyDescent="0.2">
      <c r="A18" s="1">
        <v>31413</v>
      </c>
      <c r="B18" s="4">
        <v>7.83</v>
      </c>
      <c r="C18">
        <f t="shared" si="0"/>
        <v>7.8299999999999995E-2</v>
      </c>
      <c r="D18" s="2"/>
      <c r="E18" s="22"/>
    </row>
    <row r="19" spans="1:5" x14ac:dyDescent="0.2">
      <c r="A19" s="1">
        <v>31503</v>
      </c>
      <c r="B19" s="4">
        <v>6.92</v>
      </c>
      <c r="C19">
        <f t="shared" si="0"/>
        <v>6.9199999999999998E-2</v>
      </c>
      <c r="D19" s="2"/>
      <c r="E19" s="22"/>
    </row>
    <row r="20" spans="1:5" x14ac:dyDescent="0.2">
      <c r="A20" s="1">
        <v>31594</v>
      </c>
      <c r="B20" s="4">
        <v>6.21</v>
      </c>
      <c r="C20">
        <f t="shared" si="0"/>
        <v>6.2100000000000002E-2</v>
      </c>
      <c r="D20" s="2"/>
      <c r="E20" s="22"/>
    </row>
    <row r="21" spans="1:5" x14ac:dyDescent="0.2">
      <c r="A21" s="1">
        <v>31686</v>
      </c>
      <c r="B21" s="4">
        <v>6.27</v>
      </c>
      <c r="C21">
        <f t="shared" si="0"/>
        <v>6.2699999999999992E-2</v>
      </c>
      <c r="D21" s="2"/>
      <c r="E21" s="22"/>
    </row>
    <row r="22" spans="1:5" x14ac:dyDescent="0.2">
      <c r="A22" s="1">
        <v>31778</v>
      </c>
      <c r="B22" s="4">
        <v>6.22</v>
      </c>
      <c r="C22">
        <f t="shared" si="0"/>
        <v>6.2199999999999998E-2</v>
      </c>
      <c r="D22" s="2"/>
      <c r="E22" s="22"/>
    </row>
    <row r="23" spans="1:5" x14ac:dyDescent="0.2">
      <c r="A23" s="1">
        <v>31868</v>
      </c>
      <c r="B23" s="4">
        <v>6.65</v>
      </c>
      <c r="C23">
        <f t="shared" si="0"/>
        <v>6.6500000000000004E-2</v>
      </c>
      <c r="D23" s="2"/>
      <c r="E23" s="22"/>
    </row>
    <row r="24" spans="1:5" x14ac:dyDescent="0.2">
      <c r="A24" s="1">
        <v>31959</v>
      </c>
      <c r="B24" s="4">
        <v>6.84</v>
      </c>
      <c r="C24">
        <f t="shared" si="0"/>
        <v>6.8400000000000002E-2</v>
      </c>
      <c r="D24" s="2"/>
      <c r="E24" s="22"/>
    </row>
    <row r="25" spans="1:5" x14ac:dyDescent="0.2">
      <c r="A25" s="1">
        <v>32051</v>
      </c>
      <c r="B25" s="4">
        <v>6.92</v>
      </c>
      <c r="C25">
        <f t="shared" si="0"/>
        <v>6.9199999999999998E-2</v>
      </c>
      <c r="D25" s="2"/>
      <c r="E25" s="22"/>
    </row>
    <row r="26" spans="1:5" x14ac:dyDescent="0.2">
      <c r="A26" s="1">
        <v>32143</v>
      </c>
      <c r="B26" s="4">
        <v>6.66</v>
      </c>
      <c r="C26">
        <f t="shared" si="0"/>
        <v>6.6600000000000006E-2</v>
      </c>
      <c r="D26" s="2"/>
      <c r="E26" s="22"/>
    </row>
    <row r="27" spans="1:5" x14ac:dyDescent="0.2">
      <c r="A27" s="1">
        <v>32234</v>
      </c>
      <c r="B27" s="4">
        <v>7.16</v>
      </c>
      <c r="C27">
        <f t="shared" si="0"/>
        <v>7.1599999999999997E-2</v>
      </c>
      <c r="D27" s="2"/>
      <c r="E27" s="22"/>
    </row>
    <row r="28" spans="1:5" x14ac:dyDescent="0.2">
      <c r="A28" s="1">
        <v>32325</v>
      </c>
      <c r="B28" s="4">
        <v>7.98</v>
      </c>
      <c r="C28">
        <f t="shared" si="0"/>
        <v>7.980000000000001E-2</v>
      </c>
      <c r="D28" s="2"/>
      <c r="E28" s="22"/>
    </row>
    <row r="29" spans="1:5" x14ac:dyDescent="0.2">
      <c r="A29" s="1">
        <v>32417</v>
      </c>
      <c r="B29" s="4">
        <v>8.4700000000000006</v>
      </c>
      <c r="C29">
        <f t="shared" si="0"/>
        <v>8.4700000000000011E-2</v>
      </c>
      <c r="D29" s="2"/>
      <c r="E29" s="22"/>
    </row>
    <row r="30" spans="1:5" x14ac:dyDescent="0.2">
      <c r="A30" s="1">
        <v>32509</v>
      </c>
      <c r="B30" s="4">
        <v>9.44</v>
      </c>
      <c r="C30">
        <f t="shared" si="0"/>
        <v>9.4399999999999998E-2</v>
      </c>
      <c r="D30" s="2"/>
      <c r="E30" s="22"/>
    </row>
    <row r="31" spans="1:5" x14ac:dyDescent="0.2">
      <c r="A31" s="1">
        <v>32599</v>
      </c>
      <c r="B31" s="4">
        <v>9.73</v>
      </c>
      <c r="C31">
        <f t="shared" si="0"/>
        <v>9.7299999999999998E-2</v>
      </c>
      <c r="D31" s="2"/>
      <c r="E31" s="22"/>
    </row>
    <row r="32" spans="1:5" x14ac:dyDescent="0.2">
      <c r="A32" s="1">
        <v>32690</v>
      </c>
      <c r="B32" s="4">
        <v>9.08</v>
      </c>
      <c r="C32">
        <f t="shared" si="0"/>
        <v>9.0800000000000006E-2</v>
      </c>
      <c r="D32" s="2"/>
      <c r="E32" s="22"/>
    </row>
    <row r="33" spans="1:5" x14ac:dyDescent="0.2">
      <c r="A33" s="1">
        <v>32782</v>
      </c>
      <c r="B33" s="4">
        <v>8.61</v>
      </c>
      <c r="C33">
        <f t="shared" si="0"/>
        <v>8.6099999999999996E-2</v>
      </c>
      <c r="D33" s="2"/>
      <c r="E33" s="22"/>
    </row>
    <row r="34" spans="1:5" x14ac:dyDescent="0.2">
      <c r="A34" s="1">
        <v>32874</v>
      </c>
      <c r="B34" s="4">
        <v>8.25</v>
      </c>
      <c r="C34">
        <f t="shared" si="0"/>
        <v>8.2500000000000004E-2</v>
      </c>
      <c r="D34" s="2"/>
      <c r="E34" s="22"/>
    </row>
    <row r="35" spans="1:5" x14ac:dyDescent="0.2">
      <c r="A35" s="1">
        <v>32964</v>
      </c>
      <c r="B35" s="4">
        <v>8.24</v>
      </c>
      <c r="C35">
        <f t="shared" si="0"/>
        <v>8.2400000000000001E-2</v>
      </c>
      <c r="D35" s="2"/>
      <c r="E35" s="22"/>
    </row>
    <row r="36" spans="1:5" x14ac:dyDescent="0.2">
      <c r="A36" s="1">
        <v>33055</v>
      </c>
      <c r="B36" s="4">
        <v>8.16</v>
      </c>
      <c r="C36">
        <f t="shared" si="0"/>
        <v>8.1600000000000006E-2</v>
      </c>
      <c r="D36" s="2"/>
      <c r="E36" s="22"/>
    </row>
    <row r="37" spans="1:5" x14ac:dyDescent="0.2">
      <c r="A37" s="1">
        <v>33147</v>
      </c>
      <c r="B37" s="4">
        <v>7.74</v>
      </c>
      <c r="C37">
        <f t="shared" si="0"/>
        <v>7.7399999999999997E-2</v>
      </c>
      <c r="D37" s="2"/>
      <c r="E37" s="22"/>
    </row>
    <row r="38" spans="1:5" x14ac:dyDescent="0.2">
      <c r="A38" s="1">
        <v>33239</v>
      </c>
      <c r="B38" s="4">
        <v>6.43</v>
      </c>
      <c r="C38">
        <f t="shared" si="0"/>
        <v>6.4299999999999996E-2</v>
      </c>
      <c r="D38" s="2"/>
      <c r="E38" s="22"/>
    </row>
    <row r="39" spans="1:5" x14ac:dyDescent="0.2">
      <c r="A39" s="1">
        <v>33329</v>
      </c>
      <c r="B39" s="4">
        <v>5.86</v>
      </c>
      <c r="C39">
        <f t="shared" si="0"/>
        <v>5.8600000000000006E-2</v>
      </c>
      <c r="D39" s="2"/>
      <c r="E39" s="22"/>
    </row>
    <row r="40" spans="1:5" x14ac:dyDescent="0.2">
      <c r="A40" s="1">
        <v>33420</v>
      </c>
      <c r="B40" s="4">
        <v>5.64</v>
      </c>
      <c r="C40">
        <f t="shared" si="0"/>
        <v>5.6399999999999999E-2</v>
      </c>
      <c r="D40" s="2"/>
      <c r="E40" s="22"/>
    </row>
    <row r="41" spans="1:5" x14ac:dyDescent="0.2">
      <c r="A41" s="1">
        <v>33512</v>
      </c>
      <c r="B41" s="4">
        <v>4.82</v>
      </c>
      <c r="C41">
        <f t="shared" si="0"/>
        <v>4.82E-2</v>
      </c>
      <c r="D41" s="2"/>
      <c r="E41" s="22"/>
    </row>
    <row r="42" spans="1:5" x14ac:dyDescent="0.2">
      <c r="A42" s="1">
        <v>33604</v>
      </c>
      <c r="B42" s="4">
        <v>4.0199999999999996</v>
      </c>
      <c r="C42">
        <f t="shared" si="0"/>
        <v>4.0199999999999993E-2</v>
      </c>
      <c r="D42" s="2"/>
      <c r="E42" s="22"/>
    </row>
    <row r="43" spans="1:5" x14ac:dyDescent="0.2">
      <c r="A43" s="1">
        <v>33695</v>
      </c>
      <c r="B43" s="4">
        <v>3.77</v>
      </c>
      <c r="C43">
        <f t="shared" si="0"/>
        <v>3.7699999999999997E-2</v>
      </c>
      <c r="D43" s="2"/>
      <c r="E43" s="22"/>
    </row>
    <row r="44" spans="1:5" x14ac:dyDescent="0.2">
      <c r="A44" s="1">
        <v>33786</v>
      </c>
      <c r="B44" s="4">
        <v>3.26</v>
      </c>
      <c r="C44">
        <f t="shared" si="0"/>
        <v>3.2599999999999997E-2</v>
      </c>
      <c r="D44" s="2"/>
      <c r="E44" s="22"/>
    </row>
    <row r="45" spans="1:5" x14ac:dyDescent="0.2">
      <c r="A45" s="1">
        <v>33878</v>
      </c>
      <c r="B45" s="4">
        <v>3.04</v>
      </c>
      <c r="C45">
        <f t="shared" si="0"/>
        <v>3.04E-2</v>
      </c>
      <c r="D45" s="2"/>
      <c r="E45" s="22"/>
    </row>
    <row r="46" spans="1:5" x14ac:dyDescent="0.2">
      <c r="A46" s="1">
        <v>33970</v>
      </c>
      <c r="B46" s="4">
        <v>3.04</v>
      </c>
      <c r="C46">
        <f t="shared" si="0"/>
        <v>3.04E-2</v>
      </c>
      <c r="D46" s="2"/>
      <c r="E46" s="22"/>
    </row>
    <row r="47" spans="1:5" x14ac:dyDescent="0.2">
      <c r="A47" s="1">
        <v>34060</v>
      </c>
      <c r="B47" s="4">
        <v>3</v>
      </c>
      <c r="C47">
        <f t="shared" si="0"/>
        <v>0.03</v>
      </c>
      <c r="D47" s="2"/>
      <c r="E47" s="22"/>
    </row>
    <row r="48" spans="1:5" x14ac:dyDescent="0.2">
      <c r="A48" s="1">
        <v>34151</v>
      </c>
      <c r="B48" s="4">
        <v>3.06</v>
      </c>
      <c r="C48">
        <f t="shared" si="0"/>
        <v>3.0600000000000002E-2</v>
      </c>
      <c r="D48" s="2"/>
      <c r="E48" s="22"/>
    </row>
    <row r="49" spans="1:5" x14ac:dyDescent="0.2">
      <c r="A49" s="1">
        <v>34243</v>
      </c>
      <c r="B49" s="4">
        <v>2.99</v>
      </c>
      <c r="C49">
        <f t="shared" si="0"/>
        <v>2.9900000000000003E-2</v>
      </c>
      <c r="D49" s="2"/>
      <c r="E49" s="22"/>
    </row>
    <row r="50" spans="1:5" x14ac:dyDescent="0.2">
      <c r="A50" s="1">
        <v>34335</v>
      </c>
      <c r="B50" s="4">
        <v>3.21</v>
      </c>
      <c r="C50">
        <f t="shared" si="0"/>
        <v>3.2099999999999997E-2</v>
      </c>
      <c r="D50" s="2"/>
      <c r="E50" s="22"/>
    </row>
    <row r="51" spans="1:5" x14ac:dyDescent="0.2">
      <c r="A51" s="1">
        <v>34425</v>
      </c>
      <c r="B51" s="4">
        <v>3.94</v>
      </c>
      <c r="C51">
        <f t="shared" si="0"/>
        <v>3.9399999999999998E-2</v>
      </c>
      <c r="D51" s="2"/>
      <c r="E51" s="22"/>
    </row>
    <row r="52" spans="1:5" x14ac:dyDescent="0.2">
      <c r="A52" s="1">
        <v>34516</v>
      </c>
      <c r="B52" s="4">
        <v>4.49</v>
      </c>
      <c r="C52">
        <f t="shared" si="0"/>
        <v>4.4900000000000002E-2</v>
      </c>
      <c r="D52" s="2"/>
      <c r="E52" s="22"/>
    </row>
    <row r="53" spans="1:5" x14ac:dyDescent="0.2">
      <c r="A53" s="1">
        <v>34608</v>
      </c>
      <c r="B53" s="4">
        <v>5.17</v>
      </c>
      <c r="C53">
        <f t="shared" si="0"/>
        <v>5.1699999999999996E-2</v>
      </c>
      <c r="D53" s="2"/>
      <c r="E53" s="22"/>
    </row>
    <row r="54" spans="1:5" x14ac:dyDescent="0.2">
      <c r="A54" s="1">
        <v>34700</v>
      </c>
      <c r="B54" s="4">
        <v>5.81</v>
      </c>
      <c r="C54">
        <f t="shared" si="0"/>
        <v>5.8099999999999999E-2</v>
      </c>
      <c r="D54" s="2"/>
      <c r="E54" s="22"/>
    </row>
    <row r="55" spans="1:5" x14ac:dyDescent="0.2">
      <c r="A55" s="1">
        <v>34790</v>
      </c>
      <c r="B55" s="4">
        <v>6.02</v>
      </c>
      <c r="C55">
        <f t="shared" si="0"/>
        <v>6.0199999999999997E-2</v>
      </c>
      <c r="D55" s="2"/>
      <c r="E55" s="22"/>
    </row>
    <row r="56" spans="1:5" x14ac:dyDescent="0.2">
      <c r="A56" s="1">
        <v>34881</v>
      </c>
      <c r="B56" s="4">
        <v>5.8</v>
      </c>
      <c r="C56">
        <f t="shared" si="0"/>
        <v>5.7999999999999996E-2</v>
      </c>
      <c r="D56" s="2"/>
      <c r="E56" s="22"/>
    </row>
    <row r="57" spans="1:5" x14ac:dyDescent="0.2">
      <c r="A57" s="1">
        <v>34973</v>
      </c>
      <c r="B57" s="4">
        <v>5.72</v>
      </c>
      <c r="C57">
        <f t="shared" si="0"/>
        <v>5.7200000000000001E-2</v>
      </c>
      <c r="D57" s="2"/>
      <c r="E57" s="22"/>
    </row>
    <row r="58" spans="1:5" x14ac:dyDescent="0.2">
      <c r="A58" s="1">
        <v>35065</v>
      </c>
      <c r="B58" s="4">
        <v>5.36</v>
      </c>
      <c r="C58">
        <f t="shared" si="0"/>
        <v>5.3600000000000002E-2</v>
      </c>
      <c r="D58" s="2"/>
      <c r="E58" s="22"/>
    </row>
    <row r="59" spans="1:5" x14ac:dyDescent="0.2">
      <c r="A59" s="1">
        <v>35156</v>
      </c>
      <c r="B59" s="4">
        <v>5.24</v>
      </c>
      <c r="C59">
        <f t="shared" si="0"/>
        <v>5.2400000000000002E-2</v>
      </c>
      <c r="D59" s="2"/>
      <c r="E59" s="22"/>
    </row>
    <row r="60" spans="1:5" x14ac:dyDescent="0.2">
      <c r="A60" s="1">
        <v>35247</v>
      </c>
      <c r="B60" s="4">
        <v>5.31</v>
      </c>
      <c r="C60">
        <f t="shared" si="0"/>
        <v>5.3099999999999994E-2</v>
      </c>
      <c r="D60" s="2"/>
      <c r="E60" s="22"/>
    </row>
    <row r="61" spans="1:5" x14ac:dyDescent="0.2">
      <c r="A61" s="1">
        <v>35339</v>
      </c>
      <c r="B61" s="4">
        <v>5.28</v>
      </c>
      <c r="C61">
        <f t="shared" si="0"/>
        <v>5.28E-2</v>
      </c>
      <c r="D61" s="2"/>
      <c r="E61" s="22"/>
    </row>
    <row r="62" spans="1:5" x14ac:dyDescent="0.2">
      <c r="A62" s="1">
        <v>35431</v>
      </c>
      <c r="B62" s="4">
        <v>5.28</v>
      </c>
      <c r="C62">
        <f t="shared" si="0"/>
        <v>5.28E-2</v>
      </c>
      <c r="D62" s="2"/>
      <c r="E62" s="22"/>
    </row>
    <row r="63" spans="1:5" x14ac:dyDescent="0.2">
      <c r="A63" s="1">
        <v>35521</v>
      </c>
      <c r="B63" s="4">
        <v>5.52</v>
      </c>
      <c r="C63">
        <f t="shared" si="0"/>
        <v>5.5199999999999999E-2</v>
      </c>
      <c r="D63" s="2"/>
      <c r="E63" s="22"/>
    </row>
    <row r="64" spans="1:5" x14ac:dyDescent="0.2">
      <c r="A64" s="1">
        <v>35612</v>
      </c>
      <c r="B64" s="4">
        <v>5.53</v>
      </c>
      <c r="C64">
        <f t="shared" si="0"/>
        <v>5.5300000000000002E-2</v>
      </c>
      <c r="D64" s="2"/>
      <c r="E64" s="22"/>
    </row>
    <row r="65" spans="1:5" x14ac:dyDescent="0.2">
      <c r="A65" s="1">
        <v>35704</v>
      </c>
      <c r="B65" s="4">
        <v>5.51</v>
      </c>
      <c r="C65">
        <f t="shared" si="0"/>
        <v>5.5099999999999996E-2</v>
      </c>
      <c r="D65" s="2"/>
      <c r="E65" s="22"/>
    </row>
    <row r="66" spans="1:5" x14ac:dyDescent="0.2">
      <c r="A66" s="1">
        <v>35796</v>
      </c>
      <c r="B66" s="4">
        <v>5.52</v>
      </c>
      <c r="C66">
        <f t="shared" si="0"/>
        <v>5.5199999999999999E-2</v>
      </c>
      <c r="D66" s="2"/>
      <c r="E66" s="22"/>
    </row>
    <row r="67" spans="1:5" x14ac:dyDescent="0.2">
      <c r="A67" s="1">
        <v>35886</v>
      </c>
      <c r="B67" s="4">
        <v>5.5</v>
      </c>
      <c r="C67">
        <f t="shared" ref="C67:C130" si="1">B67/100</f>
        <v>5.5E-2</v>
      </c>
      <c r="D67" s="2"/>
      <c r="E67" s="22"/>
    </row>
    <row r="68" spans="1:5" x14ac:dyDescent="0.2">
      <c r="A68" s="1">
        <v>35977</v>
      </c>
      <c r="B68" s="4">
        <v>5.53</v>
      </c>
      <c r="C68">
        <f t="shared" si="1"/>
        <v>5.5300000000000002E-2</v>
      </c>
      <c r="D68" s="2"/>
      <c r="E68" s="22"/>
    </row>
    <row r="69" spans="1:5" x14ac:dyDescent="0.2">
      <c r="A69" s="1">
        <v>36069</v>
      </c>
      <c r="B69" s="4">
        <v>4.8600000000000003</v>
      </c>
      <c r="C69">
        <f t="shared" si="1"/>
        <v>4.8600000000000004E-2</v>
      </c>
      <c r="D69" s="2"/>
      <c r="E69" s="22"/>
    </row>
    <row r="70" spans="1:5" x14ac:dyDescent="0.2">
      <c r="A70" s="1">
        <v>36161</v>
      </c>
      <c r="B70" s="4">
        <v>4.7300000000000004</v>
      </c>
      <c r="C70">
        <f t="shared" si="1"/>
        <v>4.7300000000000002E-2</v>
      </c>
      <c r="D70" s="2"/>
      <c r="E70" s="22"/>
    </row>
    <row r="71" spans="1:5" x14ac:dyDescent="0.2">
      <c r="A71" s="1">
        <v>36251</v>
      </c>
      <c r="B71" s="4">
        <v>4.75</v>
      </c>
      <c r="C71">
        <f t="shared" si="1"/>
        <v>4.7500000000000001E-2</v>
      </c>
      <c r="D71" s="2"/>
      <c r="E71" s="22"/>
    </row>
    <row r="72" spans="1:5" x14ac:dyDescent="0.2">
      <c r="A72" s="1">
        <v>36342</v>
      </c>
      <c r="B72" s="4">
        <v>5.09</v>
      </c>
      <c r="C72">
        <f t="shared" si="1"/>
        <v>5.0900000000000001E-2</v>
      </c>
      <c r="D72" s="2"/>
      <c r="E72" s="22"/>
    </row>
    <row r="73" spans="1:5" x14ac:dyDescent="0.2">
      <c r="A73" s="1">
        <v>36434</v>
      </c>
      <c r="B73" s="4">
        <v>5.31</v>
      </c>
      <c r="C73">
        <f t="shared" si="1"/>
        <v>5.3099999999999994E-2</v>
      </c>
      <c r="D73" s="2"/>
      <c r="E73" s="22"/>
    </row>
    <row r="74" spans="1:5" x14ac:dyDescent="0.2">
      <c r="A74" s="1">
        <v>36526</v>
      </c>
      <c r="B74" s="4">
        <v>5.68</v>
      </c>
      <c r="C74">
        <f t="shared" si="1"/>
        <v>5.6799999999999996E-2</v>
      </c>
      <c r="D74" s="2"/>
      <c r="E74" s="22"/>
    </row>
    <row r="75" spans="1:5" x14ac:dyDescent="0.2">
      <c r="A75" s="1">
        <v>36617</v>
      </c>
      <c r="B75" s="4">
        <v>6.27</v>
      </c>
      <c r="C75">
        <f t="shared" si="1"/>
        <v>6.2699999999999992E-2</v>
      </c>
      <c r="D75" s="2"/>
      <c r="E75" s="22"/>
    </row>
    <row r="76" spans="1:5" x14ac:dyDescent="0.2">
      <c r="A76" s="1">
        <v>36708</v>
      </c>
      <c r="B76" s="4">
        <v>6.52</v>
      </c>
      <c r="C76">
        <f t="shared" si="1"/>
        <v>6.5199999999999994E-2</v>
      </c>
      <c r="D76" s="2"/>
      <c r="E76" s="22"/>
    </row>
    <row r="77" spans="1:5" x14ac:dyDescent="0.2">
      <c r="A77" s="1">
        <v>36800</v>
      </c>
      <c r="B77" s="4">
        <v>6.47</v>
      </c>
      <c r="C77">
        <f t="shared" si="1"/>
        <v>6.4699999999999994E-2</v>
      </c>
      <c r="D77" s="2"/>
      <c r="E77" s="22"/>
    </row>
    <row r="78" spans="1:5" x14ac:dyDescent="0.2">
      <c r="A78" s="1">
        <v>36892</v>
      </c>
      <c r="B78" s="4">
        <v>5.59</v>
      </c>
      <c r="C78">
        <f t="shared" si="1"/>
        <v>5.5899999999999998E-2</v>
      </c>
      <c r="D78" s="2"/>
      <c r="E78" s="22"/>
    </row>
    <row r="79" spans="1:5" x14ac:dyDescent="0.2">
      <c r="A79" s="1">
        <v>36982</v>
      </c>
      <c r="B79" s="4">
        <v>4.33</v>
      </c>
      <c r="C79">
        <f t="shared" si="1"/>
        <v>4.3299999999999998E-2</v>
      </c>
      <c r="D79" s="2"/>
      <c r="E79" s="22"/>
    </row>
    <row r="80" spans="1:5" x14ac:dyDescent="0.2">
      <c r="A80" s="1">
        <v>37073</v>
      </c>
      <c r="B80" s="4">
        <v>3.5</v>
      </c>
      <c r="C80">
        <f t="shared" si="1"/>
        <v>3.5000000000000003E-2</v>
      </c>
      <c r="D80" s="2"/>
      <c r="E80" s="22"/>
    </row>
    <row r="81" spans="1:5" x14ac:dyDescent="0.2">
      <c r="A81" s="1">
        <v>37165</v>
      </c>
      <c r="B81" s="4">
        <v>2.13</v>
      </c>
      <c r="C81">
        <f t="shared" si="1"/>
        <v>2.1299999999999999E-2</v>
      </c>
      <c r="D81" s="2"/>
      <c r="E81" s="22"/>
    </row>
    <row r="82" spans="1:5" x14ac:dyDescent="0.2">
      <c r="A82" s="1">
        <v>37257</v>
      </c>
      <c r="B82" s="4">
        <v>1.73</v>
      </c>
      <c r="C82">
        <f t="shared" si="1"/>
        <v>1.7299999999999999E-2</v>
      </c>
      <c r="D82" s="2"/>
      <c r="E82" s="22"/>
    </row>
    <row r="83" spans="1:5" x14ac:dyDescent="0.2">
      <c r="A83" s="1">
        <v>37347</v>
      </c>
      <c r="B83" s="4">
        <v>1.75</v>
      </c>
      <c r="C83">
        <f t="shared" si="1"/>
        <v>1.7500000000000002E-2</v>
      </c>
      <c r="D83" s="2"/>
      <c r="E83" s="22"/>
    </row>
    <row r="84" spans="1:5" x14ac:dyDescent="0.2">
      <c r="A84" s="1">
        <v>37438</v>
      </c>
      <c r="B84" s="4">
        <v>1.74</v>
      </c>
      <c r="C84">
        <f t="shared" si="1"/>
        <v>1.7399999999999999E-2</v>
      </c>
      <c r="D84" s="2"/>
      <c r="E84" s="22"/>
    </row>
    <row r="85" spans="1:5" x14ac:dyDescent="0.2">
      <c r="A85" s="1">
        <v>37530</v>
      </c>
      <c r="B85" s="4">
        <v>1.44</v>
      </c>
      <c r="C85">
        <f t="shared" si="1"/>
        <v>1.44E-2</v>
      </c>
      <c r="D85" s="2"/>
      <c r="E85" s="22"/>
    </row>
    <row r="86" spans="1:5" x14ac:dyDescent="0.2">
      <c r="A86" s="1">
        <v>37622</v>
      </c>
      <c r="B86" s="4">
        <v>1.25</v>
      </c>
      <c r="C86">
        <f t="shared" si="1"/>
        <v>1.2500000000000001E-2</v>
      </c>
      <c r="D86" s="2"/>
      <c r="E86" s="22"/>
    </row>
    <row r="87" spans="1:5" x14ac:dyDescent="0.2">
      <c r="A87" s="1">
        <v>37712</v>
      </c>
      <c r="B87" s="4">
        <v>1.25</v>
      </c>
      <c r="C87">
        <f t="shared" si="1"/>
        <v>1.2500000000000001E-2</v>
      </c>
      <c r="D87" s="2"/>
      <c r="E87" s="22"/>
    </row>
    <row r="88" spans="1:5" x14ac:dyDescent="0.2">
      <c r="A88" s="1">
        <v>37803</v>
      </c>
      <c r="B88" s="4">
        <v>1.02</v>
      </c>
      <c r="C88">
        <f t="shared" si="1"/>
        <v>1.0200000000000001E-2</v>
      </c>
      <c r="D88" s="2"/>
      <c r="E88" s="22"/>
    </row>
    <row r="89" spans="1:5" x14ac:dyDescent="0.2">
      <c r="A89" s="1">
        <v>37895</v>
      </c>
      <c r="B89" s="4">
        <v>1</v>
      </c>
      <c r="C89">
        <f t="shared" si="1"/>
        <v>0.01</v>
      </c>
      <c r="D89" s="2"/>
      <c r="E89" s="22"/>
    </row>
    <row r="90" spans="1:5" x14ac:dyDescent="0.2">
      <c r="A90" s="1">
        <v>37987</v>
      </c>
      <c r="B90" s="4">
        <v>1</v>
      </c>
      <c r="C90">
        <f t="shared" si="1"/>
        <v>0.01</v>
      </c>
      <c r="D90" s="2"/>
      <c r="E90" s="22"/>
    </row>
    <row r="91" spans="1:5" x14ac:dyDescent="0.2">
      <c r="A91" s="1">
        <v>38078</v>
      </c>
      <c r="B91" s="4">
        <v>1.01</v>
      </c>
      <c r="C91">
        <f t="shared" si="1"/>
        <v>1.01E-2</v>
      </c>
      <c r="D91" s="2"/>
      <c r="E91" s="22"/>
    </row>
    <row r="92" spans="1:5" x14ac:dyDescent="0.2">
      <c r="A92" s="1">
        <v>38169</v>
      </c>
      <c r="B92" s="4">
        <v>1.43</v>
      </c>
      <c r="C92">
        <f t="shared" si="1"/>
        <v>1.43E-2</v>
      </c>
      <c r="D92" s="2"/>
      <c r="E92" s="22"/>
    </row>
    <row r="93" spans="1:5" x14ac:dyDescent="0.2">
      <c r="A93" s="1">
        <v>38261</v>
      </c>
      <c r="B93" s="4">
        <v>1.95</v>
      </c>
      <c r="C93">
        <f t="shared" si="1"/>
        <v>1.95E-2</v>
      </c>
      <c r="D93" s="2"/>
      <c r="E93" s="22"/>
    </row>
    <row r="94" spans="1:5" x14ac:dyDescent="0.2">
      <c r="A94" s="1">
        <v>38353</v>
      </c>
      <c r="B94" s="4">
        <v>2.4700000000000002</v>
      </c>
      <c r="C94">
        <f t="shared" si="1"/>
        <v>2.4700000000000003E-2</v>
      </c>
      <c r="D94" s="2"/>
      <c r="E94" s="22"/>
    </row>
    <row r="95" spans="1:5" x14ac:dyDescent="0.2">
      <c r="A95" s="1">
        <v>38443</v>
      </c>
      <c r="B95" s="4">
        <v>2.94</v>
      </c>
      <c r="C95">
        <f t="shared" si="1"/>
        <v>2.9399999999999999E-2</v>
      </c>
      <c r="D95" s="2"/>
      <c r="E95" s="22"/>
    </row>
    <row r="96" spans="1:5" x14ac:dyDescent="0.2">
      <c r="A96" s="1">
        <v>38534</v>
      </c>
      <c r="B96" s="4">
        <v>3.46</v>
      </c>
      <c r="C96">
        <f t="shared" si="1"/>
        <v>3.4599999999999999E-2</v>
      </c>
      <c r="D96" s="2"/>
      <c r="E96" s="22"/>
    </row>
    <row r="97" spans="1:5" x14ac:dyDescent="0.2">
      <c r="A97" s="1">
        <v>38626</v>
      </c>
      <c r="B97" s="4">
        <v>3.98</v>
      </c>
      <c r="C97">
        <f t="shared" si="1"/>
        <v>3.9800000000000002E-2</v>
      </c>
      <c r="D97" s="2"/>
      <c r="E97" s="22"/>
    </row>
    <row r="98" spans="1:5" x14ac:dyDescent="0.2">
      <c r="A98" s="1">
        <v>38718</v>
      </c>
      <c r="B98" s="4">
        <v>4.46</v>
      </c>
      <c r="C98">
        <f t="shared" si="1"/>
        <v>4.4600000000000001E-2</v>
      </c>
      <c r="D98" s="2"/>
      <c r="E98" s="22"/>
    </row>
    <row r="99" spans="1:5" x14ac:dyDescent="0.2">
      <c r="A99" s="1">
        <v>38808</v>
      </c>
      <c r="B99" s="4">
        <v>4.91</v>
      </c>
      <c r="C99">
        <f t="shared" si="1"/>
        <v>4.9100000000000005E-2</v>
      </c>
      <c r="D99" s="2"/>
      <c r="E99" s="22"/>
    </row>
    <row r="100" spans="1:5" x14ac:dyDescent="0.2">
      <c r="A100" s="1">
        <v>38899</v>
      </c>
      <c r="B100" s="4">
        <v>5.25</v>
      </c>
      <c r="C100">
        <f t="shared" si="1"/>
        <v>5.2499999999999998E-2</v>
      </c>
      <c r="D100" s="2"/>
      <c r="E100" s="22"/>
    </row>
    <row r="101" spans="1:5" x14ac:dyDescent="0.2">
      <c r="A101" s="1">
        <v>38991</v>
      </c>
      <c r="B101" s="4">
        <v>5.25</v>
      </c>
      <c r="C101">
        <f t="shared" si="1"/>
        <v>5.2499999999999998E-2</v>
      </c>
      <c r="D101" s="2"/>
      <c r="E101" s="22"/>
    </row>
    <row r="102" spans="1:5" x14ac:dyDescent="0.2">
      <c r="A102" s="1">
        <v>39083</v>
      </c>
      <c r="B102" s="4">
        <v>5.26</v>
      </c>
      <c r="C102">
        <f t="shared" si="1"/>
        <v>5.2600000000000001E-2</v>
      </c>
      <c r="D102" s="2"/>
      <c r="E102" s="22"/>
    </row>
    <row r="103" spans="1:5" x14ac:dyDescent="0.2">
      <c r="A103" s="1">
        <v>39173</v>
      </c>
      <c r="B103" s="4">
        <v>5.25</v>
      </c>
      <c r="C103">
        <f t="shared" si="1"/>
        <v>5.2499999999999998E-2</v>
      </c>
      <c r="D103" s="2"/>
      <c r="E103" s="22"/>
    </row>
    <row r="104" spans="1:5" x14ac:dyDescent="0.2">
      <c r="A104" s="1">
        <v>39264</v>
      </c>
      <c r="B104" s="4">
        <v>5.07</v>
      </c>
      <c r="C104">
        <f t="shared" si="1"/>
        <v>5.0700000000000002E-2</v>
      </c>
      <c r="D104" s="2"/>
      <c r="E104" s="22"/>
    </row>
    <row r="105" spans="1:5" x14ac:dyDescent="0.2">
      <c r="A105" s="1">
        <v>39356</v>
      </c>
      <c r="B105" s="4">
        <v>4.5</v>
      </c>
      <c r="C105">
        <f t="shared" si="1"/>
        <v>4.4999999999999998E-2</v>
      </c>
      <c r="D105" s="2"/>
      <c r="E105" s="22"/>
    </row>
    <row r="106" spans="1:5" x14ac:dyDescent="0.2">
      <c r="A106" s="1">
        <v>39448</v>
      </c>
      <c r="B106" s="4">
        <v>3.18</v>
      </c>
      <c r="C106">
        <f t="shared" si="1"/>
        <v>3.1800000000000002E-2</v>
      </c>
      <c r="D106" s="2"/>
      <c r="E106" s="22"/>
    </row>
    <row r="107" spans="1:5" x14ac:dyDescent="0.2">
      <c r="A107" s="1">
        <v>39539</v>
      </c>
      <c r="B107" s="4">
        <v>2.09</v>
      </c>
      <c r="C107">
        <f t="shared" si="1"/>
        <v>2.0899999999999998E-2</v>
      </c>
      <c r="D107" s="2"/>
      <c r="E107" s="22"/>
    </row>
    <row r="108" spans="1:5" x14ac:dyDescent="0.2">
      <c r="A108" s="1">
        <v>39630</v>
      </c>
      <c r="B108" s="4">
        <v>1.94</v>
      </c>
      <c r="C108">
        <f t="shared" si="1"/>
        <v>1.9400000000000001E-2</v>
      </c>
      <c r="D108" s="2"/>
      <c r="E108" s="22"/>
    </row>
    <row r="109" spans="1:5" x14ac:dyDescent="0.2">
      <c r="A109" s="1">
        <v>39722</v>
      </c>
      <c r="B109" s="4">
        <v>0.51</v>
      </c>
      <c r="C109">
        <f t="shared" si="1"/>
        <v>5.1000000000000004E-3</v>
      </c>
      <c r="D109" s="2"/>
      <c r="E109" s="22"/>
    </row>
    <row r="110" spans="1:5" x14ac:dyDescent="0.2">
      <c r="A110" s="1">
        <v>39814</v>
      </c>
      <c r="B110" s="4">
        <v>0.18</v>
      </c>
      <c r="C110">
        <f t="shared" si="1"/>
        <v>1.8E-3</v>
      </c>
      <c r="D110" s="2"/>
      <c r="E110" s="22"/>
    </row>
    <row r="111" spans="1:5" x14ac:dyDescent="0.2">
      <c r="A111" s="1">
        <v>39904</v>
      </c>
      <c r="B111" s="4">
        <v>0.18</v>
      </c>
      <c r="C111">
        <f t="shared" si="1"/>
        <v>1.8E-3</v>
      </c>
      <c r="D111" s="2"/>
      <c r="E111" s="22"/>
    </row>
    <row r="112" spans="1:5" x14ac:dyDescent="0.2">
      <c r="A112" s="1">
        <v>39995</v>
      </c>
      <c r="B112" s="4">
        <v>0.16</v>
      </c>
      <c r="C112">
        <f t="shared" si="1"/>
        <v>1.6000000000000001E-3</v>
      </c>
      <c r="D112" s="2"/>
      <c r="E112" s="22"/>
    </row>
    <row r="113" spans="1:5" x14ac:dyDescent="0.2">
      <c r="A113" s="1">
        <v>40087</v>
      </c>
      <c r="B113" s="4">
        <v>0.12</v>
      </c>
      <c r="C113">
        <f t="shared" si="1"/>
        <v>1.1999999999999999E-3</v>
      </c>
      <c r="D113" s="2"/>
      <c r="E113" s="22"/>
    </row>
    <row r="114" spans="1:5" x14ac:dyDescent="0.2">
      <c r="A114" s="1">
        <v>40179</v>
      </c>
      <c r="B114" s="4">
        <v>0.13</v>
      </c>
      <c r="C114">
        <f t="shared" si="1"/>
        <v>1.2999999999999999E-3</v>
      </c>
      <c r="D114" s="2"/>
      <c r="E114" s="22"/>
    </row>
    <row r="115" spans="1:5" x14ac:dyDescent="0.2">
      <c r="A115" s="1">
        <v>40269</v>
      </c>
      <c r="B115" s="4">
        <v>0.19</v>
      </c>
      <c r="C115">
        <f t="shared" si="1"/>
        <v>1.9E-3</v>
      </c>
      <c r="D115" s="2"/>
      <c r="E115" s="22"/>
    </row>
    <row r="116" spans="1:5" x14ac:dyDescent="0.2">
      <c r="A116" s="1">
        <v>40360</v>
      </c>
      <c r="B116" s="4">
        <v>0.19</v>
      </c>
      <c r="C116">
        <f t="shared" si="1"/>
        <v>1.9E-3</v>
      </c>
      <c r="D116" s="2"/>
      <c r="E116" s="22"/>
    </row>
    <row r="117" spans="1:5" x14ac:dyDescent="0.2">
      <c r="A117" s="1">
        <v>40452</v>
      </c>
      <c r="B117" s="4">
        <v>0.19</v>
      </c>
      <c r="C117">
        <f t="shared" si="1"/>
        <v>1.9E-3</v>
      </c>
      <c r="D117" s="2"/>
      <c r="E117" s="22"/>
    </row>
    <row r="118" spans="1:5" x14ac:dyDescent="0.2">
      <c r="A118" s="1">
        <v>40544</v>
      </c>
      <c r="B118" s="4">
        <v>0.16</v>
      </c>
      <c r="C118">
        <f t="shared" si="1"/>
        <v>1.6000000000000001E-3</v>
      </c>
      <c r="D118" s="2"/>
      <c r="E118" s="22"/>
    </row>
    <row r="119" spans="1:5" x14ac:dyDescent="0.2">
      <c r="A119" s="1">
        <v>40634</v>
      </c>
      <c r="B119" s="4">
        <v>0.09</v>
      </c>
      <c r="C119">
        <f t="shared" si="1"/>
        <v>8.9999999999999998E-4</v>
      </c>
      <c r="D119" s="2"/>
      <c r="E119" s="22"/>
    </row>
    <row r="120" spans="1:5" x14ac:dyDescent="0.2">
      <c r="A120" s="1">
        <v>40725</v>
      </c>
      <c r="B120" s="4">
        <v>0.08</v>
      </c>
      <c r="C120">
        <f t="shared" si="1"/>
        <v>8.0000000000000004E-4</v>
      </c>
      <c r="D120" s="2"/>
      <c r="E120" s="22"/>
    </row>
    <row r="121" spans="1:5" x14ac:dyDescent="0.2">
      <c r="A121" s="1">
        <v>40817</v>
      </c>
      <c r="B121" s="4">
        <v>7.0000000000000007E-2</v>
      </c>
      <c r="C121">
        <f t="shared" si="1"/>
        <v>7.000000000000001E-4</v>
      </c>
      <c r="D121" s="2"/>
      <c r="E121" s="22"/>
    </row>
    <row r="122" spans="1:5" x14ac:dyDescent="0.2">
      <c r="A122" s="1">
        <v>40909</v>
      </c>
      <c r="B122" s="4">
        <v>0.1</v>
      </c>
      <c r="C122">
        <f t="shared" si="1"/>
        <v>1E-3</v>
      </c>
      <c r="D122" s="2"/>
      <c r="E122" s="22"/>
    </row>
    <row r="123" spans="1:5" x14ac:dyDescent="0.2">
      <c r="A123" s="1">
        <v>41000</v>
      </c>
      <c r="B123" s="4">
        <v>0.15</v>
      </c>
      <c r="C123">
        <f t="shared" si="1"/>
        <v>1.5E-3</v>
      </c>
      <c r="D123" s="2"/>
      <c r="E123" s="22"/>
    </row>
    <row r="124" spans="1:5" x14ac:dyDescent="0.2">
      <c r="A124" s="1">
        <v>41091</v>
      </c>
      <c r="B124" s="4">
        <v>0.14000000000000001</v>
      </c>
      <c r="C124">
        <f t="shared" si="1"/>
        <v>1.4000000000000002E-3</v>
      </c>
      <c r="D124" s="2"/>
      <c r="E124" s="22"/>
    </row>
    <row r="125" spans="1:5" x14ac:dyDescent="0.2">
      <c r="A125" s="1">
        <v>41183</v>
      </c>
      <c r="B125" s="4">
        <v>0.16</v>
      </c>
      <c r="C125">
        <f t="shared" si="1"/>
        <v>1.6000000000000001E-3</v>
      </c>
      <c r="D125" s="2"/>
      <c r="E125" s="22"/>
    </row>
    <row r="126" spans="1:5" x14ac:dyDescent="0.2">
      <c r="A126" s="1">
        <v>41275</v>
      </c>
      <c r="B126" s="4">
        <v>0.14000000000000001</v>
      </c>
      <c r="C126">
        <f t="shared" si="1"/>
        <v>1.4000000000000002E-3</v>
      </c>
      <c r="D126" s="2"/>
      <c r="E126" s="22"/>
    </row>
    <row r="127" spans="1:5" x14ac:dyDescent="0.2">
      <c r="A127" s="1">
        <v>41365</v>
      </c>
      <c r="B127" s="4">
        <v>0.12</v>
      </c>
      <c r="C127">
        <f t="shared" si="1"/>
        <v>1.1999999999999999E-3</v>
      </c>
      <c r="D127" s="2"/>
      <c r="E127" s="22"/>
    </row>
    <row r="128" spans="1:5" x14ac:dyDescent="0.2">
      <c r="A128" s="1">
        <v>41456</v>
      </c>
      <c r="B128" s="4">
        <v>0.08</v>
      </c>
      <c r="C128">
        <f t="shared" si="1"/>
        <v>8.0000000000000004E-4</v>
      </c>
      <c r="D128" s="2"/>
      <c r="E128" s="22"/>
    </row>
    <row r="129" spans="1:5" x14ac:dyDescent="0.2">
      <c r="A129" s="1">
        <v>41548</v>
      </c>
      <c r="B129" s="4">
        <v>0.09</v>
      </c>
      <c r="C129">
        <f t="shared" si="1"/>
        <v>8.9999999999999998E-4</v>
      </c>
      <c r="D129" s="2"/>
      <c r="E129" s="22"/>
    </row>
    <row r="130" spans="1:5" x14ac:dyDescent="0.2">
      <c r="A130" s="1">
        <v>41640</v>
      </c>
      <c r="B130" s="4">
        <v>7.0000000000000007E-2</v>
      </c>
      <c r="C130">
        <f t="shared" si="1"/>
        <v>7.000000000000001E-4</v>
      </c>
      <c r="D130" s="2"/>
      <c r="E130" s="22"/>
    </row>
    <row r="131" spans="1:5" x14ac:dyDescent="0.2">
      <c r="A131" s="1">
        <v>41730</v>
      </c>
      <c r="B131" s="4">
        <v>0.09</v>
      </c>
      <c r="C131">
        <f t="shared" ref="C131:C177" si="2">B131/100</f>
        <v>8.9999999999999998E-4</v>
      </c>
      <c r="D131" s="2"/>
      <c r="E131" s="22"/>
    </row>
    <row r="132" spans="1:5" x14ac:dyDescent="0.2">
      <c r="A132" s="1">
        <v>41821</v>
      </c>
      <c r="B132" s="4">
        <v>0.09</v>
      </c>
      <c r="C132">
        <f t="shared" si="2"/>
        <v>8.9999999999999998E-4</v>
      </c>
      <c r="D132" s="2"/>
      <c r="E132" s="22"/>
    </row>
    <row r="133" spans="1:5" x14ac:dyDescent="0.2">
      <c r="A133" s="1">
        <v>41913</v>
      </c>
      <c r="B133" s="4">
        <v>0.1</v>
      </c>
      <c r="C133">
        <f t="shared" si="2"/>
        <v>1E-3</v>
      </c>
      <c r="D133" s="2"/>
      <c r="E133" s="22"/>
    </row>
    <row r="134" spans="1:5" x14ac:dyDescent="0.2">
      <c r="A134" s="1">
        <v>42005</v>
      </c>
      <c r="B134" s="4">
        <v>0.11</v>
      </c>
      <c r="C134">
        <f t="shared" si="2"/>
        <v>1.1000000000000001E-3</v>
      </c>
      <c r="D134" s="2"/>
      <c r="E134" s="22"/>
    </row>
    <row r="135" spans="1:5" x14ac:dyDescent="0.2">
      <c r="A135" s="1">
        <v>42095</v>
      </c>
      <c r="B135" s="4">
        <v>0.12</v>
      </c>
      <c r="C135">
        <f t="shared" si="2"/>
        <v>1.1999999999999999E-3</v>
      </c>
      <c r="D135" s="2"/>
      <c r="E135" s="22"/>
    </row>
    <row r="136" spans="1:5" x14ac:dyDescent="0.2">
      <c r="A136" s="1">
        <v>42186</v>
      </c>
      <c r="B136" s="4">
        <v>0.14000000000000001</v>
      </c>
      <c r="C136">
        <f t="shared" si="2"/>
        <v>1.4000000000000002E-3</v>
      </c>
      <c r="D136" s="2"/>
      <c r="E136" s="22"/>
    </row>
    <row r="137" spans="1:5" x14ac:dyDescent="0.2">
      <c r="A137" s="1">
        <v>42278</v>
      </c>
      <c r="B137" s="4">
        <v>0.16</v>
      </c>
      <c r="C137">
        <f t="shared" si="2"/>
        <v>1.6000000000000001E-3</v>
      </c>
      <c r="D137" s="2"/>
      <c r="E137" s="22"/>
    </row>
    <row r="138" spans="1:5" x14ac:dyDescent="0.2">
      <c r="A138" s="1">
        <v>42370</v>
      </c>
      <c r="B138" s="4">
        <v>0.36</v>
      </c>
      <c r="C138">
        <f t="shared" si="2"/>
        <v>3.5999999999999999E-3</v>
      </c>
      <c r="D138" s="2"/>
      <c r="E138" s="22"/>
    </row>
    <row r="139" spans="1:5" x14ac:dyDescent="0.2">
      <c r="A139" s="1">
        <v>42461</v>
      </c>
      <c r="B139" s="4">
        <v>0.37</v>
      </c>
      <c r="C139">
        <f t="shared" si="2"/>
        <v>3.7000000000000002E-3</v>
      </c>
      <c r="D139" s="2"/>
      <c r="E139" s="22"/>
    </row>
    <row r="140" spans="1:5" x14ac:dyDescent="0.2">
      <c r="A140" s="1">
        <v>42552</v>
      </c>
      <c r="B140" s="4">
        <v>0.4</v>
      </c>
      <c r="C140">
        <f t="shared" si="2"/>
        <v>4.0000000000000001E-3</v>
      </c>
      <c r="D140" s="2"/>
      <c r="E140" s="22"/>
    </row>
    <row r="141" spans="1:5" x14ac:dyDescent="0.2">
      <c r="A141" s="1">
        <v>42644</v>
      </c>
      <c r="B141" s="4">
        <v>0.45</v>
      </c>
      <c r="C141">
        <f t="shared" si="2"/>
        <v>4.5000000000000005E-3</v>
      </c>
      <c r="D141" s="2"/>
      <c r="E141" s="22"/>
    </row>
    <row r="142" spans="1:5" x14ac:dyDescent="0.2">
      <c r="A142" s="1">
        <v>42736</v>
      </c>
      <c r="B142" s="4">
        <v>0.7</v>
      </c>
      <c r="C142">
        <f t="shared" si="2"/>
        <v>6.9999999999999993E-3</v>
      </c>
      <c r="D142" s="2"/>
      <c r="E142" s="22"/>
    </row>
    <row r="143" spans="1:5" x14ac:dyDescent="0.2">
      <c r="A143" s="1">
        <v>42826</v>
      </c>
      <c r="B143" s="4">
        <v>0.95</v>
      </c>
      <c r="C143">
        <f t="shared" si="2"/>
        <v>9.4999999999999998E-3</v>
      </c>
      <c r="D143" s="2"/>
      <c r="E143" s="22"/>
    </row>
    <row r="144" spans="1:5" x14ac:dyDescent="0.2">
      <c r="A144" s="1">
        <v>42917</v>
      </c>
      <c r="B144" s="4">
        <v>1.1499999999999999</v>
      </c>
      <c r="C144">
        <f t="shared" si="2"/>
        <v>1.15E-2</v>
      </c>
      <c r="D144" s="2"/>
      <c r="E144" s="22"/>
    </row>
    <row r="145" spans="1:5" x14ac:dyDescent="0.2">
      <c r="A145" s="1">
        <v>43009</v>
      </c>
      <c r="B145" s="4">
        <v>1.2</v>
      </c>
      <c r="C145">
        <f t="shared" si="2"/>
        <v>1.2E-2</v>
      </c>
      <c r="D145" s="2"/>
      <c r="E145" s="22"/>
    </row>
    <row r="146" spans="1:5" x14ac:dyDescent="0.2">
      <c r="A146" s="1">
        <v>43101</v>
      </c>
      <c r="B146" s="4">
        <v>1.45</v>
      </c>
      <c r="C146">
        <f t="shared" si="2"/>
        <v>1.4499999999999999E-2</v>
      </c>
      <c r="D146" s="2"/>
      <c r="E146" s="22"/>
    </row>
    <row r="147" spans="1:5" x14ac:dyDescent="0.2">
      <c r="A147" s="1">
        <v>43191</v>
      </c>
      <c r="B147" s="4">
        <v>1.74</v>
      </c>
      <c r="C147">
        <f t="shared" si="2"/>
        <v>1.7399999999999999E-2</v>
      </c>
      <c r="D147" s="2"/>
      <c r="E147" s="22"/>
    </row>
    <row r="148" spans="1:5" x14ac:dyDescent="0.2">
      <c r="A148" s="1">
        <v>43282</v>
      </c>
      <c r="B148" s="4">
        <v>1.92</v>
      </c>
      <c r="C148">
        <f t="shared" si="2"/>
        <v>1.9199999999999998E-2</v>
      </c>
      <c r="D148" s="2"/>
      <c r="E148" s="22"/>
    </row>
    <row r="149" spans="1:5" x14ac:dyDescent="0.2">
      <c r="A149" s="1">
        <v>43374</v>
      </c>
      <c r="B149" s="4">
        <v>2.2200000000000002</v>
      </c>
      <c r="C149">
        <f t="shared" si="2"/>
        <v>2.2200000000000001E-2</v>
      </c>
      <c r="D149" s="2"/>
      <c r="E149" s="22"/>
    </row>
    <row r="150" spans="1:5" x14ac:dyDescent="0.2">
      <c r="A150" s="1">
        <v>43466</v>
      </c>
      <c r="B150" s="4">
        <v>2.4</v>
      </c>
      <c r="C150">
        <f t="shared" si="2"/>
        <v>2.4E-2</v>
      </c>
      <c r="D150" s="2"/>
      <c r="E150" s="22"/>
    </row>
    <row r="151" spans="1:5" x14ac:dyDescent="0.2">
      <c r="A151" s="1">
        <v>43556</v>
      </c>
      <c r="B151" s="4">
        <v>2.4</v>
      </c>
      <c r="C151">
        <f t="shared" si="2"/>
        <v>2.4E-2</v>
      </c>
      <c r="D151" s="2"/>
      <c r="E151" s="22"/>
    </row>
    <row r="152" spans="1:5" x14ac:dyDescent="0.2">
      <c r="A152" s="1">
        <v>43647</v>
      </c>
      <c r="B152" s="4">
        <v>2.19</v>
      </c>
      <c r="C152">
        <f t="shared" si="2"/>
        <v>2.1899999999999999E-2</v>
      </c>
      <c r="D152" s="2"/>
      <c r="E152" s="22"/>
    </row>
    <row r="153" spans="1:5" x14ac:dyDescent="0.2">
      <c r="A153" s="1">
        <v>43739</v>
      </c>
      <c r="B153" s="4">
        <v>1.64</v>
      </c>
      <c r="C153">
        <f t="shared" si="2"/>
        <v>1.6399999999999998E-2</v>
      </c>
      <c r="D153" s="2"/>
      <c r="E153" s="22"/>
    </row>
    <row r="154" spans="1:5" x14ac:dyDescent="0.2">
      <c r="A154" s="1">
        <v>43831</v>
      </c>
      <c r="B154" s="4">
        <v>1.26</v>
      </c>
      <c r="C154">
        <f t="shared" si="2"/>
        <v>1.26E-2</v>
      </c>
      <c r="D154" s="2"/>
      <c r="E154" s="22"/>
    </row>
    <row r="155" spans="1:5" x14ac:dyDescent="0.2">
      <c r="A155" s="1">
        <v>43922</v>
      </c>
      <c r="B155" s="4">
        <v>0.06</v>
      </c>
      <c r="C155">
        <f t="shared" si="2"/>
        <v>5.9999999999999995E-4</v>
      </c>
      <c r="D155" s="2"/>
      <c r="E155" s="22"/>
    </row>
    <row r="156" spans="1:5" x14ac:dyDescent="0.2">
      <c r="A156" s="1">
        <v>44013</v>
      </c>
      <c r="B156" s="4">
        <v>0.09</v>
      </c>
      <c r="C156">
        <f t="shared" si="2"/>
        <v>8.9999999999999998E-4</v>
      </c>
      <c r="D156" s="2"/>
      <c r="E156" s="22"/>
    </row>
    <row r="157" spans="1:5" x14ac:dyDescent="0.2">
      <c r="A157" s="1">
        <v>44105</v>
      </c>
      <c r="B157" s="4">
        <v>0.09</v>
      </c>
      <c r="C157">
        <f t="shared" si="2"/>
        <v>8.9999999999999998E-4</v>
      </c>
      <c r="D157" s="2"/>
      <c r="E157" s="22"/>
    </row>
    <row r="158" spans="1:5" x14ac:dyDescent="0.2">
      <c r="A158" s="1">
        <v>44197</v>
      </c>
      <c r="B158" s="4">
        <v>0.08</v>
      </c>
      <c r="C158">
        <f t="shared" si="2"/>
        <v>8.0000000000000004E-4</v>
      </c>
      <c r="D158" s="2"/>
      <c r="E158" s="22"/>
    </row>
    <row r="159" spans="1:5" x14ac:dyDescent="0.2">
      <c r="A159" s="1">
        <v>44287</v>
      </c>
      <c r="B159" s="4">
        <v>7.0000000000000007E-2</v>
      </c>
      <c r="C159">
        <f t="shared" si="2"/>
        <v>7.000000000000001E-4</v>
      </c>
      <c r="D159" s="2"/>
      <c r="E159" s="22"/>
    </row>
    <row r="160" spans="1:5" x14ac:dyDescent="0.2">
      <c r="A160" s="1">
        <v>44378</v>
      </c>
      <c r="B160" s="4">
        <v>0.09</v>
      </c>
      <c r="C160">
        <f t="shared" si="2"/>
        <v>8.9999999999999998E-4</v>
      </c>
      <c r="D160" s="2"/>
      <c r="E160" s="22"/>
    </row>
    <row r="161" spans="1:5" x14ac:dyDescent="0.2">
      <c r="A161" s="1">
        <v>44470</v>
      </c>
      <c r="B161" s="4">
        <v>0.08</v>
      </c>
      <c r="C161">
        <f t="shared" si="2"/>
        <v>8.0000000000000004E-4</v>
      </c>
      <c r="D161" s="2"/>
      <c r="E161" s="22"/>
    </row>
    <row r="162" spans="1:5" x14ac:dyDescent="0.2">
      <c r="A162" s="1">
        <v>44562</v>
      </c>
      <c r="B162" s="4">
        <v>0.12</v>
      </c>
      <c r="C162">
        <f t="shared" si="2"/>
        <v>1.1999999999999999E-3</v>
      </c>
      <c r="D162" s="2"/>
      <c r="E162" s="22"/>
    </row>
    <row r="163" spans="1:5" x14ac:dyDescent="0.2">
      <c r="A163" s="1">
        <v>44652</v>
      </c>
      <c r="B163" s="4">
        <v>0.77</v>
      </c>
      <c r="C163">
        <f t="shared" si="2"/>
        <v>7.7000000000000002E-3</v>
      </c>
      <c r="D163" s="2"/>
      <c r="E163" s="22"/>
    </row>
    <row r="164" spans="1:5" x14ac:dyDescent="0.2">
      <c r="A164" s="1">
        <v>44743</v>
      </c>
      <c r="B164" s="4">
        <v>2.19</v>
      </c>
      <c r="C164">
        <f t="shared" si="2"/>
        <v>2.1899999999999999E-2</v>
      </c>
      <c r="D164" s="2"/>
      <c r="E164" s="22"/>
    </row>
    <row r="165" spans="1:5" x14ac:dyDescent="0.2">
      <c r="A165" s="1">
        <v>44835</v>
      </c>
      <c r="B165" s="4">
        <v>3.65</v>
      </c>
      <c r="C165">
        <f t="shared" si="2"/>
        <v>3.6499999999999998E-2</v>
      </c>
      <c r="D165" s="2"/>
      <c r="E165" s="22"/>
    </row>
    <row r="166" spans="1:5" x14ac:dyDescent="0.2">
      <c r="A166" s="1">
        <v>44927</v>
      </c>
      <c r="B166" s="4">
        <v>4.5199999999999996</v>
      </c>
      <c r="C166">
        <f t="shared" si="2"/>
        <v>4.5199999999999997E-2</v>
      </c>
      <c r="D166" s="2"/>
      <c r="E166" s="22"/>
    </row>
    <row r="167" spans="1:5" x14ac:dyDescent="0.2">
      <c r="A167" s="1">
        <v>45017</v>
      </c>
      <c r="B167" s="4">
        <v>4.99</v>
      </c>
      <c r="C167">
        <f t="shared" si="2"/>
        <v>4.99E-2</v>
      </c>
      <c r="D167" s="2"/>
      <c r="E167" s="22"/>
    </row>
    <row r="168" spans="1:5" x14ac:dyDescent="0.2">
      <c r="A168" s="1">
        <v>45108</v>
      </c>
      <c r="B168" s="4">
        <v>5.26</v>
      </c>
      <c r="C168">
        <f t="shared" si="2"/>
        <v>5.2600000000000001E-2</v>
      </c>
      <c r="D168" s="2"/>
      <c r="E168" s="22"/>
    </row>
    <row r="169" spans="1:5" x14ac:dyDescent="0.2">
      <c r="A169" s="1">
        <v>45200</v>
      </c>
      <c r="B169" s="4">
        <v>5.33</v>
      </c>
      <c r="C169">
        <f t="shared" si="2"/>
        <v>5.33E-2</v>
      </c>
      <c r="D169" s="2"/>
      <c r="E169" s="22"/>
    </row>
    <row r="170" spans="1:5" x14ac:dyDescent="0.2">
      <c r="A170" s="1">
        <v>45292</v>
      </c>
      <c r="B170" s="4">
        <v>5.33</v>
      </c>
      <c r="C170">
        <f t="shared" si="2"/>
        <v>5.33E-2</v>
      </c>
      <c r="D170" s="2"/>
      <c r="E170" s="22"/>
    </row>
    <row r="171" spans="1:5" x14ac:dyDescent="0.2">
      <c r="A171" s="1">
        <v>45383</v>
      </c>
      <c r="B171" s="4">
        <v>5.33</v>
      </c>
      <c r="C171">
        <f t="shared" si="2"/>
        <v>5.33E-2</v>
      </c>
      <c r="D171" s="2"/>
      <c r="E171" s="22"/>
    </row>
    <row r="172" spans="1:5" x14ac:dyDescent="0.2">
      <c r="A172" s="1">
        <v>45474</v>
      </c>
      <c r="B172" s="4">
        <v>5.26</v>
      </c>
      <c r="C172">
        <f t="shared" si="2"/>
        <v>5.2600000000000001E-2</v>
      </c>
      <c r="D172" s="2"/>
      <c r="E172" s="22"/>
    </row>
    <row r="173" spans="1:5" x14ac:dyDescent="0.2">
      <c r="A173" s="1">
        <v>45566</v>
      </c>
      <c r="B173" s="4">
        <v>4.6500000000000004</v>
      </c>
      <c r="C173">
        <f t="shared" si="2"/>
        <v>4.6500000000000007E-2</v>
      </c>
      <c r="D173" s="2"/>
      <c r="E173" s="22"/>
    </row>
    <row r="174" spans="1:5" x14ac:dyDescent="0.2">
      <c r="A174" s="1">
        <v>45658</v>
      </c>
      <c r="B174" s="4">
        <v>4.33</v>
      </c>
      <c r="C174">
        <f t="shared" si="2"/>
        <v>4.3299999999999998E-2</v>
      </c>
      <c r="D174" s="2"/>
      <c r="E174" s="22"/>
    </row>
    <row r="175" spans="1:5" x14ac:dyDescent="0.2">
      <c r="A175" s="1">
        <v>45748</v>
      </c>
      <c r="B175" s="4">
        <v>4.33</v>
      </c>
      <c r="C175">
        <f t="shared" si="2"/>
        <v>4.3299999999999998E-2</v>
      </c>
      <c r="D175" s="2"/>
      <c r="E175" s="22"/>
    </row>
    <row r="176" spans="1:5" x14ac:dyDescent="0.2">
      <c r="A176" s="1">
        <v>45839</v>
      </c>
      <c r="B176" s="4">
        <v>4.29</v>
      </c>
      <c r="C176">
        <f t="shared" si="2"/>
        <v>4.2900000000000001E-2</v>
      </c>
      <c r="D176" s="2"/>
      <c r="E176" s="22"/>
    </row>
    <row r="177" spans="1:5" x14ac:dyDescent="0.2">
      <c r="A177" s="1">
        <v>45931</v>
      </c>
      <c r="B177" s="4">
        <v>3.9</v>
      </c>
      <c r="C177">
        <f t="shared" si="2"/>
        <v>3.9E-2</v>
      </c>
      <c r="D177" s="2"/>
      <c r="E177" s="22"/>
    </row>
    <row r="178" spans="1:5" x14ac:dyDescent="0.2">
      <c r="A178" s="1"/>
      <c r="B178" s="4"/>
      <c r="D178" s="2"/>
      <c r="E178" s="22"/>
    </row>
    <row r="179" spans="1:5" x14ac:dyDescent="0.2">
      <c r="A179" s="1"/>
      <c r="B179" s="4"/>
    </row>
    <row r="180" spans="1:5" x14ac:dyDescent="0.2">
      <c r="A180" s="1"/>
      <c r="B180" s="4"/>
    </row>
    <row r="181" spans="1:5" x14ac:dyDescent="0.2">
      <c r="A181" s="1"/>
      <c r="B181" s="4"/>
    </row>
    <row r="182" spans="1:5" x14ac:dyDescent="0.2">
      <c r="A182" s="1"/>
      <c r="B182" s="4"/>
    </row>
    <row r="183" spans="1:5" x14ac:dyDescent="0.2">
      <c r="A183" s="1"/>
      <c r="B183" s="4"/>
    </row>
    <row r="184" spans="1:5" x14ac:dyDescent="0.2">
      <c r="A184" s="1"/>
      <c r="B184" s="4"/>
    </row>
    <row r="185" spans="1:5" x14ac:dyDescent="0.2">
      <c r="A185" s="1"/>
      <c r="B185" s="4"/>
    </row>
    <row r="186" spans="1:5" x14ac:dyDescent="0.2">
      <c r="A186" s="1"/>
      <c r="B186" s="4"/>
    </row>
    <row r="187" spans="1:5" x14ac:dyDescent="0.2">
      <c r="A187" s="1"/>
      <c r="B187" s="4"/>
    </row>
    <row r="188" spans="1:5" x14ac:dyDescent="0.2">
      <c r="A188" s="1"/>
      <c r="B188" s="4"/>
    </row>
    <row r="189" spans="1:5" x14ac:dyDescent="0.2">
      <c r="A189" s="1"/>
      <c r="B189" s="4"/>
    </row>
    <row r="190" spans="1:5" x14ac:dyDescent="0.2">
      <c r="A190" s="1"/>
      <c r="B190" s="4"/>
    </row>
    <row r="191" spans="1:5" x14ac:dyDescent="0.2">
      <c r="A191" s="1"/>
      <c r="B191" s="4"/>
    </row>
    <row r="192" spans="1:5" x14ac:dyDescent="0.2">
      <c r="A192" s="1"/>
      <c r="B192" s="4"/>
    </row>
    <row r="193" spans="1:2" x14ac:dyDescent="0.2">
      <c r="A193" s="1"/>
      <c r="B193" s="4"/>
    </row>
    <row r="194" spans="1:2" x14ac:dyDescent="0.2">
      <c r="A194" s="1"/>
      <c r="B194" s="4"/>
    </row>
    <row r="195" spans="1:2" x14ac:dyDescent="0.2">
      <c r="A195" s="1"/>
      <c r="B195" s="4"/>
    </row>
    <row r="196" spans="1:2" x14ac:dyDescent="0.2">
      <c r="A196" s="1"/>
      <c r="B196" s="4"/>
    </row>
    <row r="197" spans="1:2" x14ac:dyDescent="0.2">
      <c r="A197" s="1"/>
      <c r="B197" s="4"/>
    </row>
    <row r="198" spans="1:2" x14ac:dyDescent="0.2">
      <c r="A198" s="1"/>
      <c r="B198" s="4"/>
    </row>
    <row r="199" spans="1:2" x14ac:dyDescent="0.2">
      <c r="A199" s="1"/>
      <c r="B199" s="4"/>
    </row>
    <row r="200" spans="1:2" x14ac:dyDescent="0.2">
      <c r="A200" s="1"/>
      <c r="B200" s="4"/>
    </row>
    <row r="201" spans="1:2" x14ac:dyDescent="0.2">
      <c r="A201" s="1"/>
      <c r="B201" s="4"/>
    </row>
    <row r="202" spans="1:2" x14ac:dyDescent="0.2">
      <c r="A202" s="1"/>
      <c r="B202" s="4"/>
    </row>
    <row r="203" spans="1:2" x14ac:dyDescent="0.2">
      <c r="A203" s="1"/>
      <c r="B203" s="4"/>
    </row>
    <row r="204" spans="1:2" x14ac:dyDescent="0.2">
      <c r="A204" s="1"/>
      <c r="B204" s="4"/>
    </row>
    <row r="205" spans="1:2" x14ac:dyDescent="0.2">
      <c r="A205" s="1"/>
      <c r="B205" s="4"/>
    </row>
    <row r="206" spans="1:2" x14ac:dyDescent="0.2">
      <c r="A206" s="1"/>
      <c r="B206" s="4"/>
    </row>
    <row r="207" spans="1:2" x14ac:dyDescent="0.2">
      <c r="A207" s="1"/>
      <c r="B207" s="4"/>
    </row>
    <row r="208" spans="1:2" x14ac:dyDescent="0.2">
      <c r="A208" s="1"/>
      <c r="B208" s="4"/>
    </row>
    <row r="209" spans="1:2" x14ac:dyDescent="0.2">
      <c r="A209" s="1"/>
      <c r="B209" s="4"/>
    </row>
    <row r="210" spans="1:2" x14ac:dyDescent="0.2">
      <c r="A210" s="1"/>
      <c r="B210" s="4"/>
    </row>
    <row r="211" spans="1:2" x14ac:dyDescent="0.2">
      <c r="A211" s="1"/>
      <c r="B211" s="4"/>
    </row>
    <row r="212" spans="1:2" x14ac:dyDescent="0.2">
      <c r="A212" s="1"/>
      <c r="B212" s="4"/>
    </row>
    <row r="213" spans="1:2" x14ac:dyDescent="0.2">
      <c r="A213" s="1"/>
      <c r="B213" s="4"/>
    </row>
    <row r="214" spans="1:2" x14ac:dyDescent="0.2">
      <c r="A214" s="1"/>
      <c r="B214" s="4"/>
    </row>
    <row r="215" spans="1:2" x14ac:dyDescent="0.2">
      <c r="A215" s="1"/>
      <c r="B215" s="4"/>
    </row>
    <row r="216" spans="1:2" x14ac:dyDescent="0.2">
      <c r="A216" s="1"/>
      <c r="B216" s="4"/>
    </row>
    <row r="217" spans="1:2" x14ac:dyDescent="0.2">
      <c r="A217" s="1"/>
      <c r="B217" s="4"/>
    </row>
    <row r="218" spans="1:2" x14ac:dyDescent="0.2">
      <c r="A218" s="1"/>
      <c r="B218" s="4"/>
    </row>
    <row r="219" spans="1:2" x14ac:dyDescent="0.2">
      <c r="A219" s="1"/>
      <c r="B219" s="4"/>
    </row>
    <row r="220" spans="1:2" x14ac:dyDescent="0.2">
      <c r="A220" s="1"/>
      <c r="B220" s="4"/>
    </row>
    <row r="221" spans="1:2" x14ac:dyDescent="0.2">
      <c r="A221" s="1"/>
      <c r="B221" s="4"/>
    </row>
    <row r="222" spans="1:2" x14ac:dyDescent="0.2">
      <c r="A222" s="1"/>
      <c r="B222" s="4"/>
    </row>
    <row r="223" spans="1:2" x14ac:dyDescent="0.2">
      <c r="A223" s="1"/>
      <c r="B223" s="4"/>
    </row>
    <row r="224" spans="1:2" x14ac:dyDescent="0.2">
      <c r="A224" s="1"/>
      <c r="B224" s="4"/>
    </row>
    <row r="225" spans="1:2" x14ac:dyDescent="0.2">
      <c r="A225" s="1"/>
      <c r="B225" s="4"/>
    </row>
    <row r="226" spans="1:2" x14ac:dyDescent="0.2">
      <c r="A226" s="1"/>
      <c r="B226" s="4"/>
    </row>
    <row r="227" spans="1:2" x14ac:dyDescent="0.2">
      <c r="A227" s="1"/>
      <c r="B227" s="4"/>
    </row>
    <row r="228" spans="1:2" x14ac:dyDescent="0.2">
      <c r="A228" s="1"/>
      <c r="B228" s="4"/>
    </row>
    <row r="229" spans="1:2" x14ac:dyDescent="0.2">
      <c r="A229" s="1"/>
      <c r="B229" s="4"/>
    </row>
    <row r="230" spans="1:2" x14ac:dyDescent="0.2">
      <c r="A230" s="1"/>
      <c r="B230" s="4"/>
    </row>
    <row r="231" spans="1:2" x14ac:dyDescent="0.2">
      <c r="A231" s="1"/>
      <c r="B231" s="4"/>
    </row>
    <row r="232" spans="1:2" x14ac:dyDescent="0.2">
      <c r="A232" s="1"/>
      <c r="B232" s="4"/>
    </row>
    <row r="233" spans="1:2" x14ac:dyDescent="0.2">
      <c r="A233" s="1"/>
      <c r="B233" s="4"/>
    </row>
    <row r="234" spans="1:2" x14ac:dyDescent="0.2">
      <c r="A234" s="1"/>
      <c r="B234" s="4"/>
    </row>
    <row r="235" spans="1:2" x14ac:dyDescent="0.2">
      <c r="A235" s="1"/>
      <c r="B235" s="4"/>
    </row>
    <row r="236" spans="1:2" x14ac:dyDescent="0.2">
      <c r="A236" s="1"/>
      <c r="B236" s="4"/>
    </row>
    <row r="237" spans="1:2" x14ac:dyDescent="0.2">
      <c r="A237" s="1"/>
      <c r="B237" s="4"/>
    </row>
    <row r="238" spans="1:2" x14ac:dyDescent="0.2">
      <c r="A238" s="1"/>
      <c r="B238" s="4"/>
    </row>
    <row r="239" spans="1:2" x14ac:dyDescent="0.2">
      <c r="A239" s="1"/>
      <c r="B239" s="4"/>
    </row>
    <row r="240" spans="1:2" x14ac:dyDescent="0.2">
      <c r="A240" s="1"/>
      <c r="B240" s="4"/>
    </row>
    <row r="241" spans="1:2" x14ac:dyDescent="0.2">
      <c r="A241" s="1"/>
      <c r="B241" s="4"/>
    </row>
    <row r="242" spans="1:2" x14ac:dyDescent="0.2">
      <c r="A242" s="1"/>
      <c r="B242" s="4"/>
    </row>
    <row r="243" spans="1:2" x14ac:dyDescent="0.2">
      <c r="A243" s="1"/>
      <c r="B243" s="4"/>
    </row>
    <row r="244" spans="1:2" x14ac:dyDescent="0.2">
      <c r="A244" s="1"/>
      <c r="B244" s="4"/>
    </row>
    <row r="245" spans="1:2" x14ac:dyDescent="0.2">
      <c r="A245" s="1"/>
      <c r="B245" s="4"/>
    </row>
    <row r="246" spans="1:2" x14ac:dyDescent="0.2">
      <c r="A246" s="1"/>
      <c r="B246" s="4"/>
    </row>
    <row r="247" spans="1:2" x14ac:dyDescent="0.2">
      <c r="A247" s="1"/>
      <c r="B247" s="4"/>
    </row>
    <row r="248" spans="1:2" x14ac:dyDescent="0.2">
      <c r="A248" s="1"/>
      <c r="B248" s="4"/>
    </row>
    <row r="249" spans="1:2" x14ac:dyDescent="0.2">
      <c r="A249" s="1"/>
      <c r="B249" s="4"/>
    </row>
    <row r="250" spans="1:2" x14ac:dyDescent="0.2">
      <c r="A250" s="1"/>
      <c r="B250" s="4"/>
    </row>
    <row r="251" spans="1:2" x14ac:dyDescent="0.2">
      <c r="A251" s="1"/>
      <c r="B251" s="4"/>
    </row>
    <row r="252" spans="1:2" x14ac:dyDescent="0.2">
      <c r="A252" s="1"/>
      <c r="B252" s="4"/>
    </row>
    <row r="253" spans="1:2" x14ac:dyDescent="0.2">
      <c r="A253" s="1"/>
      <c r="B253" s="4"/>
    </row>
    <row r="254" spans="1:2" x14ac:dyDescent="0.2">
      <c r="A254" s="1"/>
      <c r="B254" s="4"/>
    </row>
    <row r="255" spans="1:2" x14ac:dyDescent="0.2">
      <c r="A255" s="1"/>
      <c r="B255" s="4"/>
    </row>
    <row r="256" spans="1:2" x14ac:dyDescent="0.2">
      <c r="A256" s="1"/>
      <c r="B256" s="4"/>
    </row>
    <row r="257" spans="1:2" x14ac:dyDescent="0.2">
      <c r="A257" s="1"/>
      <c r="B257" s="4"/>
    </row>
    <row r="258" spans="1:2" x14ac:dyDescent="0.2">
      <c r="A258" s="1"/>
      <c r="B258" s="4"/>
    </row>
    <row r="259" spans="1:2" x14ac:dyDescent="0.2">
      <c r="A259" s="1"/>
      <c r="B259" s="4"/>
    </row>
    <row r="260" spans="1:2" x14ac:dyDescent="0.2">
      <c r="A260" s="1"/>
      <c r="B260" s="4"/>
    </row>
    <row r="261" spans="1:2" x14ac:dyDescent="0.2">
      <c r="A261" s="1"/>
      <c r="B261" s="4"/>
    </row>
    <row r="262" spans="1:2" x14ac:dyDescent="0.2">
      <c r="A262" s="1"/>
      <c r="B262" s="4"/>
    </row>
    <row r="263" spans="1:2" x14ac:dyDescent="0.2">
      <c r="A263" s="1"/>
      <c r="B263" s="4"/>
    </row>
    <row r="264" spans="1:2" x14ac:dyDescent="0.2">
      <c r="A264" s="1"/>
      <c r="B264" s="4"/>
    </row>
    <row r="265" spans="1:2" x14ac:dyDescent="0.2">
      <c r="A265" s="1"/>
      <c r="B265" s="4"/>
    </row>
    <row r="266" spans="1:2" x14ac:dyDescent="0.2">
      <c r="A266" s="1"/>
      <c r="B266" s="4"/>
    </row>
    <row r="267" spans="1:2" x14ac:dyDescent="0.2">
      <c r="A267" s="1"/>
      <c r="B267" s="4"/>
    </row>
    <row r="268" spans="1:2" x14ac:dyDescent="0.2">
      <c r="A268" s="1"/>
      <c r="B268" s="4"/>
    </row>
    <row r="269" spans="1:2" x14ac:dyDescent="0.2">
      <c r="A269" s="1"/>
      <c r="B269" s="4"/>
    </row>
    <row r="270" spans="1:2" x14ac:dyDescent="0.2">
      <c r="A270" s="1"/>
      <c r="B270" s="4"/>
    </row>
    <row r="271" spans="1:2" x14ac:dyDescent="0.2">
      <c r="A271" s="1"/>
      <c r="B271" s="4"/>
    </row>
    <row r="272" spans="1:2" x14ac:dyDescent="0.2">
      <c r="A272" s="1"/>
      <c r="B272" s="4"/>
    </row>
    <row r="273" spans="1:2" x14ac:dyDescent="0.2">
      <c r="A273" s="1"/>
      <c r="B273" s="4"/>
    </row>
    <row r="274" spans="1:2" x14ac:dyDescent="0.2">
      <c r="A274" s="1"/>
      <c r="B274" s="4"/>
    </row>
    <row r="275" spans="1:2" x14ac:dyDescent="0.2">
      <c r="A275" s="1"/>
      <c r="B275" s="4"/>
    </row>
    <row r="276" spans="1:2" x14ac:dyDescent="0.2">
      <c r="A276" s="1"/>
      <c r="B276" s="4"/>
    </row>
    <row r="277" spans="1:2" x14ac:dyDescent="0.2">
      <c r="A277" s="1"/>
      <c r="B277" s="4"/>
    </row>
    <row r="278" spans="1:2" x14ac:dyDescent="0.2">
      <c r="A278" s="1"/>
      <c r="B278" s="4"/>
    </row>
    <row r="279" spans="1:2" x14ac:dyDescent="0.2">
      <c r="A279" s="1"/>
      <c r="B279" s="4"/>
    </row>
    <row r="280" spans="1:2" x14ac:dyDescent="0.2">
      <c r="A280" s="1"/>
      <c r="B280" s="4"/>
    </row>
    <row r="281" spans="1:2" x14ac:dyDescent="0.2">
      <c r="A281" s="1"/>
      <c r="B281" s="4"/>
    </row>
    <row r="282" spans="1:2" x14ac:dyDescent="0.2">
      <c r="A282" s="1"/>
      <c r="B282" s="4"/>
    </row>
    <row r="283" spans="1:2" x14ac:dyDescent="0.2">
      <c r="A283" s="1"/>
      <c r="B283" s="4"/>
    </row>
    <row r="284" spans="1:2" x14ac:dyDescent="0.2">
      <c r="A284" s="1"/>
      <c r="B284" s="4"/>
    </row>
    <row r="285" spans="1:2" x14ac:dyDescent="0.2">
      <c r="A285" s="1"/>
      <c r="B285" s="4"/>
    </row>
    <row r="286" spans="1:2" x14ac:dyDescent="0.2">
      <c r="A286" s="1"/>
      <c r="B286" s="4"/>
    </row>
    <row r="287" spans="1:2" x14ac:dyDescent="0.2">
      <c r="A287" s="1"/>
      <c r="B287" s="4"/>
    </row>
    <row r="288" spans="1:2" x14ac:dyDescent="0.2">
      <c r="A288" s="1"/>
      <c r="B288" s="4"/>
    </row>
    <row r="289" spans="1:2" x14ac:dyDescent="0.2">
      <c r="A289" s="1"/>
      <c r="B289" s="4"/>
    </row>
    <row r="290" spans="1:2" x14ac:dyDescent="0.2">
      <c r="A290" s="1"/>
      <c r="B290" s="4"/>
    </row>
    <row r="291" spans="1:2" x14ac:dyDescent="0.2">
      <c r="A291" s="1"/>
      <c r="B291" s="4"/>
    </row>
    <row r="292" spans="1:2" x14ac:dyDescent="0.2">
      <c r="A292" s="1"/>
      <c r="B292" s="4"/>
    </row>
    <row r="293" spans="1:2" x14ac:dyDescent="0.2">
      <c r="A293" s="1"/>
      <c r="B293" s="4"/>
    </row>
    <row r="294" spans="1:2" x14ac:dyDescent="0.2">
      <c r="A294" s="1"/>
      <c r="B294" s="4"/>
    </row>
    <row r="295" spans="1:2" x14ac:dyDescent="0.2">
      <c r="A295" s="1"/>
      <c r="B295" s="4"/>
    </row>
    <row r="296" spans="1:2" x14ac:dyDescent="0.2">
      <c r="A296" s="1"/>
      <c r="B296" s="4"/>
    </row>
    <row r="297" spans="1:2" x14ac:dyDescent="0.2">
      <c r="A297" s="1"/>
      <c r="B297" s="4"/>
    </row>
    <row r="298" spans="1:2" x14ac:dyDescent="0.2">
      <c r="A298" s="1"/>
      <c r="B298" s="4"/>
    </row>
    <row r="299" spans="1:2" x14ac:dyDescent="0.2">
      <c r="A299" s="1"/>
      <c r="B299" s="4"/>
    </row>
    <row r="300" spans="1:2" x14ac:dyDescent="0.2">
      <c r="A300" s="1"/>
      <c r="B300" s="4"/>
    </row>
    <row r="301" spans="1:2" x14ac:dyDescent="0.2">
      <c r="A301" s="1"/>
      <c r="B301" s="4"/>
    </row>
    <row r="302" spans="1:2" x14ac:dyDescent="0.2">
      <c r="A302" s="1"/>
      <c r="B302" s="4"/>
    </row>
    <row r="303" spans="1:2" x14ac:dyDescent="0.2">
      <c r="A303" s="1"/>
      <c r="B303" s="4"/>
    </row>
    <row r="304" spans="1:2" x14ac:dyDescent="0.2">
      <c r="A304" s="1"/>
      <c r="B304" s="4"/>
    </row>
    <row r="305" spans="1:2" x14ac:dyDescent="0.2">
      <c r="A305" s="1"/>
      <c r="B305" s="4"/>
    </row>
    <row r="306" spans="1:2" x14ac:dyDescent="0.2">
      <c r="A306" s="1"/>
      <c r="B306" s="4"/>
    </row>
    <row r="307" spans="1:2" x14ac:dyDescent="0.2">
      <c r="A307" s="1"/>
      <c r="B307" s="4"/>
    </row>
    <row r="308" spans="1:2" x14ac:dyDescent="0.2">
      <c r="A308" s="1"/>
      <c r="B308" s="4"/>
    </row>
    <row r="309" spans="1:2" x14ac:dyDescent="0.2">
      <c r="A309" s="1"/>
      <c r="B309" s="4"/>
    </row>
    <row r="310" spans="1:2" x14ac:dyDescent="0.2">
      <c r="A310" s="1"/>
      <c r="B310" s="4"/>
    </row>
    <row r="311" spans="1:2" x14ac:dyDescent="0.2">
      <c r="A311" s="1"/>
      <c r="B311" s="4"/>
    </row>
    <row r="312" spans="1:2" x14ac:dyDescent="0.2">
      <c r="A312" s="1"/>
      <c r="B312" s="4"/>
    </row>
    <row r="313" spans="1:2" x14ac:dyDescent="0.2">
      <c r="A313" s="1"/>
      <c r="B313" s="4"/>
    </row>
    <row r="314" spans="1:2" x14ac:dyDescent="0.2">
      <c r="A314" s="1"/>
      <c r="B314" s="4"/>
    </row>
    <row r="315" spans="1:2" x14ac:dyDescent="0.2">
      <c r="A315" s="1"/>
      <c r="B315" s="4"/>
    </row>
    <row r="316" spans="1:2" x14ac:dyDescent="0.2">
      <c r="A316" s="1"/>
      <c r="B316" s="4"/>
    </row>
    <row r="317" spans="1:2" x14ac:dyDescent="0.2">
      <c r="A317" s="1"/>
      <c r="B317" s="4"/>
    </row>
    <row r="318" spans="1:2" x14ac:dyDescent="0.2">
      <c r="A318" s="1"/>
      <c r="B318" s="4"/>
    </row>
    <row r="319" spans="1:2" x14ac:dyDescent="0.2">
      <c r="A319" s="1"/>
      <c r="B319" s="4"/>
    </row>
    <row r="320" spans="1:2" x14ac:dyDescent="0.2">
      <c r="A320" s="1"/>
      <c r="B320" s="4"/>
    </row>
    <row r="321" spans="1:2" x14ac:dyDescent="0.2">
      <c r="A321" s="1"/>
      <c r="B321" s="4"/>
    </row>
    <row r="322" spans="1:2" x14ac:dyDescent="0.2">
      <c r="A322" s="1"/>
      <c r="B322" s="4"/>
    </row>
    <row r="323" spans="1:2" x14ac:dyDescent="0.2">
      <c r="A323" s="1"/>
      <c r="B323" s="4"/>
    </row>
    <row r="324" spans="1:2" x14ac:dyDescent="0.2">
      <c r="A324" s="1"/>
      <c r="B324" s="4"/>
    </row>
    <row r="325" spans="1:2" x14ac:dyDescent="0.2">
      <c r="A325" s="1"/>
      <c r="B325" s="4"/>
    </row>
    <row r="326" spans="1:2" x14ac:dyDescent="0.2">
      <c r="A326" s="1"/>
      <c r="B326" s="4"/>
    </row>
    <row r="327" spans="1:2" x14ac:dyDescent="0.2">
      <c r="A327" s="1"/>
      <c r="B327" s="4"/>
    </row>
    <row r="328" spans="1:2" x14ac:dyDescent="0.2">
      <c r="A328" s="1"/>
      <c r="B328" s="4"/>
    </row>
    <row r="329" spans="1:2" x14ac:dyDescent="0.2">
      <c r="A329" s="1"/>
      <c r="B329" s="4"/>
    </row>
    <row r="330" spans="1:2" x14ac:dyDescent="0.2">
      <c r="A330" s="1"/>
      <c r="B330" s="4"/>
    </row>
    <row r="331" spans="1:2" x14ac:dyDescent="0.2">
      <c r="A331" s="1"/>
      <c r="B331" s="4"/>
    </row>
    <row r="332" spans="1:2" x14ac:dyDescent="0.2">
      <c r="A332" s="1"/>
      <c r="B332" s="4"/>
    </row>
    <row r="333" spans="1:2" x14ac:dyDescent="0.2">
      <c r="A333" s="1"/>
      <c r="B333" s="4"/>
    </row>
    <row r="334" spans="1:2" x14ac:dyDescent="0.2">
      <c r="A334" s="1"/>
      <c r="B334" s="4"/>
    </row>
    <row r="335" spans="1:2" x14ac:dyDescent="0.2">
      <c r="A335" s="1"/>
      <c r="B335" s="4"/>
    </row>
    <row r="336" spans="1:2" x14ac:dyDescent="0.2">
      <c r="A336" s="1"/>
      <c r="B336" s="4"/>
    </row>
    <row r="337" spans="1:2" x14ac:dyDescent="0.2">
      <c r="A337" s="1"/>
      <c r="B337" s="4"/>
    </row>
    <row r="338" spans="1:2" x14ac:dyDescent="0.2">
      <c r="A338" s="1"/>
      <c r="B338" s="4"/>
    </row>
    <row r="339" spans="1:2" x14ac:dyDescent="0.2">
      <c r="A339" s="1"/>
      <c r="B339" s="4"/>
    </row>
    <row r="340" spans="1:2" x14ac:dyDescent="0.2">
      <c r="A340" s="1"/>
      <c r="B340" s="4"/>
    </row>
    <row r="341" spans="1:2" x14ac:dyDescent="0.2">
      <c r="A341" s="1"/>
      <c r="B341" s="4"/>
    </row>
    <row r="342" spans="1:2" x14ac:dyDescent="0.2">
      <c r="A342" s="1"/>
      <c r="B342" s="4"/>
    </row>
    <row r="343" spans="1:2" x14ac:dyDescent="0.2">
      <c r="A343" s="1"/>
      <c r="B343" s="4"/>
    </row>
    <row r="344" spans="1:2" x14ac:dyDescent="0.2">
      <c r="A344" s="1"/>
      <c r="B344" s="4"/>
    </row>
    <row r="345" spans="1:2" x14ac:dyDescent="0.2">
      <c r="A345" s="1"/>
      <c r="B345" s="4"/>
    </row>
    <row r="346" spans="1:2" x14ac:dyDescent="0.2">
      <c r="A346" s="1"/>
      <c r="B346" s="4"/>
    </row>
    <row r="347" spans="1:2" x14ac:dyDescent="0.2">
      <c r="A347" s="1"/>
      <c r="B347" s="4"/>
    </row>
    <row r="348" spans="1:2" x14ac:dyDescent="0.2">
      <c r="A348" s="1"/>
      <c r="B348" s="4"/>
    </row>
    <row r="349" spans="1:2" x14ac:dyDescent="0.2">
      <c r="A349" s="1"/>
      <c r="B349" s="4"/>
    </row>
    <row r="350" spans="1:2" x14ac:dyDescent="0.2">
      <c r="A350" s="1"/>
      <c r="B350" s="4"/>
    </row>
    <row r="351" spans="1:2" x14ac:dyDescent="0.2">
      <c r="A351" s="1"/>
      <c r="B351" s="4"/>
    </row>
    <row r="352" spans="1:2" x14ac:dyDescent="0.2">
      <c r="A352" s="1"/>
      <c r="B352" s="4"/>
    </row>
    <row r="353" spans="1:2" x14ac:dyDescent="0.2">
      <c r="A353" s="1"/>
      <c r="B353" s="4"/>
    </row>
    <row r="354" spans="1:2" x14ac:dyDescent="0.2">
      <c r="A354" s="1"/>
      <c r="B354" s="4"/>
    </row>
    <row r="355" spans="1:2" x14ac:dyDescent="0.2">
      <c r="A355" s="1"/>
      <c r="B355" s="4"/>
    </row>
    <row r="356" spans="1:2" x14ac:dyDescent="0.2">
      <c r="A356" s="1"/>
      <c r="B356" s="4"/>
    </row>
    <row r="357" spans="1:2" x14ac:dyDescent="0.2">
      <c r="A357" s="1"/>
      <c r="B357" s="4"/>
    </row>
    <row r="358" spans="1:2" x14ac:dyDescent="0.2">
      <c r="A358" s="1"/>
      <c r="B358" s="4"/>
    </row>
    <row r="359" spans="1:2" x14ac:dyDescent="0.2">
      <c r="A359" s="1"/>
      <c r="B359" s="4"/>
    </row>
    <row r="360" spans="1:2" x14ac:dyDescent="0.2">
      <c r="A360" s="1"/>
      <c r="B360" s="4"/>
    </row>
    <row r="361" spans="1:2" x14ac:dyDescent="0.2">
      <c r="A361" s="1"/>
      <c r="B361" s="4"/>
    </row>
    <row r="362" spans="1:2" x14ac:dyDescent="0.2">
      <c r="A362" s="1"/>
      <c r="B362" s="4"/>
    </row>
    <row r="363" spans="1:2" x14ac:dyDescent="0.2">
      <c r="A363" s="1"/>
      <c r="B363" s="4"/>
    </row>
    <row r="364" spans="1:2" x14ac:dyDescent="0.2">
      <c r="A364" s="1"/>
      <c r="B364" s="4"/>
    </row>
    <row r="365" spans="1:2" x14ac:dyDescent="0.2">
      <c r="A365" s="1"/>
      <c r="B365" s="4"/>
    </row>
    <row r="366" spans="1:2" x14ac:dyDescent="0.2">
      <c r="A366" s="1"/>
      <c r="B366" s="4"/>
    </row>
    <row r="367" spans="1:2" x14ac:dyDescent="0.2">
      <c r="A367" s="1"/>
      <c r="B367" s="4"/>
    </row>
    <row r="368" spans="1:2" x14ac:dyDescent="0.2">
      <c r="A368" s="1"/>
      <c r="B368" s="4"/>
    </row>
    <row r="369" spans="1:2" x14ac:dyDescent="0.2">
      <c r="A369" s="1"/>
      <c r="B369" s="4"/>
    </row>
    <row r="370" spans="1:2" x14ac:dyDescent="0.2">
      <c r="A370" s="1"/>
      <c r="B370" s="4"/>
    </row>
    <row r="371" spans="1:2" x14ac:dyDescent="0.2">
      <c r="A371" s="1"/>
      <c r="B371" s="4"/>
    </row>
    <row r="372" spans="1:2" x14ac:dyDescent="0.2">
      <c r="A372" s="1"/>
      <c r="B372" s="4"/>
    </row>
    <row r="373" spans="1:2" x14ac:dyDescent="0.2">
      <c r="A373" s="1"/>
      <c r="B373" s="4"/>
    </row>
    <row r="374" spans="1:2" x14ac:dyDescent="0.2">
      <c r="A374" s="1"/>
      <c r="B374" s="4"/>
    </row>
    <row r="375" spans="1:2" x14ac:dyDescent="0.2">
      <c r="A375" s="1"/>
      <c r="B375" s="4"/>
    </row>
    <row r="376" spans="1:2" x14ac:dyDescent="0.2">
      <c r="A376" s="1"/>
      <c r="B376" s="4"/>
    </row>
    <row r="377" spans="1:2" x14ac:dyDescent="0.2">
      <c r="A377" s="1"/>
      <c r="B377" s="4"/>
    </row>
    <row r="378" spans="1:2" x14ac:dyDescent="0.2">
      <c r="A378" s="1"/>
      <c r="B378" s="4"/>
    </row>
    <row r="379" spans="1:2" x14ac:dyDescent="0.2">
      <c r="A379" s="1"/>
      <c r="B379" s="4"/>
    </row>
    <row r="380" spans="1:2" x14ac:dyDescent="0.2">
      <c r="A380" s="1"/>
      <c r="B380" s="4"/>
    </row>
    <row r="381" spans="1:2" x14ac:dyDescent="0.2">
      <c r="A381" s="1"/>
      <c r="B381" s="4"/>
    </row>
    <row r="382" spans="1:2" x14ac:dyDescent="0.2">
      <c r="A382" s="1"/>
      <c r="B382" s="4"/>
    </row>
    <row r="383" spans="1:2" x14ac:dyDescent="0.2">
      <c r="A383" s="1"/>
      <c r="B383" s="4"/>
    </row>
    <row r="384" spans="1:2" x14ac:dyDescent="0.2">
      <c r="A384" s="1"/>
      <c r="B384" s="4"/>
    </row>
    <row r="385" spans="1:2" x14ac:dyDescent="0.2">
      <c r="A385" s="1"/>
      <c r="B385" s="4"/>
    </row>
    <row r="386" spans="1:2" x14ac:dyDescent="0.2">
      <c r="A386" s="1"/>
      <c r="B386" s="4"/>
    </row>
    <row r="387" spans="1:2" x14ac:dyDescent="0.2">
      <c r="A387" s="1"/>
      <c r="B387" s="4"/>
    </row>
    <row r="388" spans="1:2" x14ac:dyDescent="0.2">
      <c r="A388" s="1"/>
      <c r="B388" s="4"/>
    </row>
    <row r="389" spans="1:2" x14ac:dyDescent="0.2">
      <c r="A389" s="1"/>
      <c r="B389" s="4"/>
    </row>
    <row r="390" spans="1:2" x14ac:dyDescent="0.2">
      <c r="A390" s="1"/>
      <c r="B390" s="4"/>
    </row>
    <row r="391" spans="1:2" x14ac:dyDescent="0.2">
      <c r="A391" s="1"/>
      <c r="B391" s="4"/>
    </row>
    <row r="392" spans="1:2" x14ac:dyDescent="0.2">
      <c r="A392" s="1"/>
      <c r="B392" s="4"/>
    </row>
    <row r="393" spans="1:2" x14ac:dyDescent="0.2">
      <c r="A393" s="1"/>
      <c r="B393" s="4"/>
    </row>
    <row r="394" spans="1:2" x14ac:dyDescent="0.2">
      <c r="A394" s="1"/>
      <c r="B394" s="4"/>
    </row>
    <row r="395" spans="1:2" x14ac:dyDescent="0.2">
      <c r="A395" s="1"/>
      <c r="B395" s="4"/>
    </row>
    <row r="396" spans="1:2" x14ac:dyDescent="0.2">
      <c r="A396" s="1"/>
      <c r="B396" s="4"/>
    </row>
    <row r="397" spans="1:2" x14ac:dyDescent="0.2">
      <c r="A397" s="1"/>
      <c r="B397" s="4"/>
    </row>
    <row r="398" spans="1:2" x14ac:dyDescent="0.2">
      <c r="A398" s="1"/>
      <c r="B398" s="4"/>
    </row>
    <row r="399" spans="1:2" x14ac:dyDescent="0.2">
      <c r="A399" s="1"/>
      <c r="B399" s="4"/>
    </row>
    <row r="400" spans="1:2" x14ac:dyDescent="0.2">
      <c r="A400" s="1"/>
      <c r="B400" s="4"/>
    </row>
    <row r="401" spans="1:2" x14ac:dyDescent="0.2">
      <c r="A401" s="1"/>
      <c r="B401" s="4"/>
    </row>
    <row r="402" spans="1:2" x14ac:dyDescent="0.2">
      <c r="A402" s="1"/>
      <c r="B402" s="4"/>
    </row>
    <row r="403" spans="1:2" x14ac:dyDescent="0.2">
      <c r="A403" s="1"/>
      <c r="B403" s="4"/>
    </row>
    <row r="404" spans="1:2" x14ac:dyDescent="0.2">
      <c r="A404" s="1"/>
      <c r="B404" s="4"/>
    </row>
    <row r="405" spans="1:2" x14ac:dyDescent="0.2">
      <c r="A405" s="1"/>
      <c r="B405" s="4"/>
    </row>
    <row r="406" spans="1:2" x14ac:dyDescent="0.2">
      <c r="A406" s="1"/>
      <c r="B406" s="4"/>
    </row>
    <row r="407" spans="1:2" x14ac:dyDescent="0.2">
      <c r="A407" s="1"/>
      <c r="B407" s="4"/>
    </row>
    <row r="408" spans="1:2" x14ac:dyDescent="0.2">
      <c r="A408" s="1"/>
      <c r="B408" s="4"/>
    </row>
    <row r="409" spans="1:2" x14ac:dyDescent="0.2">
      <c r="A409" s="1"/>
      <c r="B409" s="4"/>
    </row>
    <row r="410" spans="1:2" x14ac:dyDescent="0.2">
      <c r="A410" s="1"/>
      <c r="B410" s="4"/>
    </row>
    <row r="411" spans="1:2" x14ac:dyDescent="0.2">
      <c r="A411" s="1"/>
      <c r="B411" s="4"/>
    </row>
    <row r="412" spans="1:2" x14ac:dyDescent="0.2">
      <c r="A412" s="1"/>
      <c r="B412" s="4"/>
    </row>
    <row r="413" spans="1:2" x14ac:dyDescent="0.2">
      <c r="A413" s="1"/>
      <c r="B413" s="4"/>
    </row>
    <row r="414" spans="1:2" x14ac:dyDescent="0.2">
      <c r="A414" s="1"/>
      <c r="B414" s="4"/>
    </row>
    <row r="415" spans="1:2" x14ac:dyDescent="0.2">
      <c r="A415" s="1"/>
      <c r="B415" s="4"/>
    </row>
    <row r="416" spans="1:2" x14ac:dyDescent="0.2">
      <c r="A416" s="1"/>
      <c r="B416" s="4"/>
    </row>
    <row r="417" spans="1:2" x14ac:dyDescent="0.2">
      <c r="A417" s="1"/>
      <c r="B417" s="4"/>
    </row>
    <row r="418" spans="1:2" x14ac:dyDescent="0.2">
      <c r="A418" s="1"/>
      <c r="B418" s="4"/>
    </row>
    <row r="419" spans="1:2" x14ac:dyDescent="0.2">
      <c r="A419" s="1"/>
      <c r="B419" s="4"/>
    </row>
    <row r="420" spans="1:2" x14ac:dyDescent="0.2">
      <c r="A420" s="1"/>
      <c r="B420" s="4"/>
    </row>
    <row r="421" spans="1:2" x14ac:dyDescent="0.2">
      <c r="A421" s="1"/>
      <c r="B421" s="4"/>
    </row>
    <row r="422" spans="1:2" x14ac:dyDescent="0.2">
      <c r="A422" s="1"/>
      <c r="B422" s="4"/>
    </row>
    <row r="423" spans="1:2" x14ac:dyDescent="0.2">
      <c r="A423" s="1"/>
      <c r="B423" s="4"/>
    </row>
    <row r="424" spans="1:2" x14ac:dyDescent="0.2">
      <c r="A424" s="1"/>
      <c r="B424" s="4"/>
    </row>
    <row r="425" spans="1:2" x14ac:dyDescent="0.2">
      <c r="A425" s="1"/>
      <c r="B425" s="4"/>
    </row>
    <row r="426" spans="1:2" x14ac:dyDescent="0.2">
      <c r="A426" s="1"/>
      <c r="B426" s="4"/>
    </row>
    <row r="427" spans="1:2" x14ac:dyDescent="0.2">
      <c r="A427" s="1"/>
      <c r="B427" s="4"/>
    </row>
    <row r="428" spans="1:2" x14ac:dyDescent="0.2">
      <c r="A428" s="1"/>
      <c r="B428" s="4"/>
    </row>
    <row r="429" spans="1:2" x14ac:dyDescent="0.2">
      <c r="A429" s="1"/>
      <c r="B429" s="4"/>
    </row>
    <row r="430" spans="1:2" x14ac:dyDescent="0.2">
      <c r="A430" s="1"/>
      <c r="B430" s="4"/>
    </row>
    <row r="431" spans="1:2" x14ac:dyDescent="0.2">
      <c r="A431" s="1"/>
      <c r="B431" s="4"/>
    </row>
    <row r="432" spans="1:2" x14ac:dyDescent="0.2">
      <c r="A432" s="1"/>
      <c r="B432" s="4"/>
    </row>
    <row r="433" spans="1:2" x14ac:dyDescent="0.2">
      <c r="A433" s="1"/>
      <c r="B433" s="4"/>
    </row>
    <row r="434" spans="1:2" x14ac:dyDescent="0.2">
      <c r="A434" s="1"/>
      <c r="B434" s="4"/>
    </row>
    <row r="435" spans="1:2" x14ac:dyDescent="0.2">
      <c r="A435" s="1"/>
      <c r="B435" s="4"/>
    </row>
    <row r="436" spans="1:2" x14ac:dyDescent="0.2">
      <c r="A436" s="1"/>
      <c r="B436" s="4"/>
    </row>
    <row r="437" spans="1:2" x14ac:dyDescent="0.2">
      <c r="A437" s="1"/>
      <c r="B437" s="4"/>
    </row>
    <row r="438" spans="1:2" x14ac:dyDescent="0.2">
      <c r="A438" s="1"/>
      <c r="B438" s="4"/>
    </row>
    <row r="439" spans="1:2" x14ac:dyDescent="0.2">
      <c r="A439" s="1"/>
      <c r="B439" s="4"/>
    </row>
    <row r="440" spans="1:2" x14ac:dyDescent="0.2">
      <c r="A440" s="1"/>
      <c r="B440" s="4"/>
    </row>
    <row r="441" spans="1:2" x14ac:dyDescent="0.2">
      <c r="A441" s="1"/>
      <c r="B441" s="4"/>
    </row>
    <row r="442" spans="1:2" x14ac:dyDescent="0.2">
      <c r="A442" s="1"/>
      <c r="B442" s="4"/>
    </row>
    <row r="443" spans="1:2" x14ac:dyDescent="0.2">
      <c r="A443" s="1"/>
      <c r="B443" s="4"/>
    </row>
    <row r="444" spans="1:2" x14ac:dyDescent="0.2">
      <c r="A444" s="1"/>
      <c r="B444" s="4"/>
    </row>
    <row r="445" spans="1:2" x14ac:dyDescent="0.2">
      <c r="A445" s="1"/>
      <c r="B445" s="4"/>
    </row>
    <row r="446" spans="1:2" x14ac:dyDescent="0.2">
      <c r="A446" s="1"/>
      <c r="B446" s="4"/>
    </row>
    <row r="447" spans="1:2" x14ac:dyDescent="0.2">
      <c r="A447" s="1"/>
      <c r="B447" s="4"/>
    </row>
    <row r="448" spans="1:2" x14ac:dyDescent="0.2">
      <c r="A448" s="1"/>
      <c r="B448" s="4"/>
    </row>
    <row r="449" spans="1:2" x14ac:dyDescent="0.2">
      <c r="A449" s="1"/>
      <c r="B449" s="4"/>
    </row>
    <row r="450" spans="1:2" x14ac:dyDescent="0.2">
      <c r="A450" s="1"/>
      <c r="B450" s="4"/>
    </row>
    <row r="451" spans="1:2" x14ac:dyDescent="0.2">
      <c r="A451" s="1"/>
      <c r="B451" s="4"/>
    </row>
    <row r="452" spans="1:2" x14ac:dyDescent="0.2">
      <c r="A452" s="1"/>
      <c r="B452" s="4"/>
    </row>
    <row r="453" spans="1:2" x14ac:dyDescent="0.2">
      <c r="A453" s="1"/>
      <c r="B453" s="4"/>
    </row>
    <row r="454" spans="1:2" x14ac:dyDescent="0.2">
      <c r="A454" s="1"/>
      <c r="B454" s="4"/>
    </row>
    <row r="455" spans="1:2" x14ac:dyDescent="0.2">
      <c r="A455" s="1"/>
      <c r="B455" s="4"/>
    </row>
    <row r="456" spans="1:2" x14ac:dyDescent="0.2">
      <c r="A456" s="1"/>
      <c r="B456" s="4"/>
    </row>
    <row r="457" spans="1:2" x14ac:dyDescent="0.2">
      <c r="A457" s="1"/>
      <c r="B457" s="4"/>
    </row>
    <row r="458" spans="1:2" x14ac:dyDescent="0.2">
      <c r="A458" s="1"/>
      <c r="B458" s="4"/>
    </row>
    <row r="459" spans="1:2" x14ac:dyDescent="0.2">
      <c r="A459" s="1"/>
      <c r="B459" s="4"/>
    </row>
    <row r="460" spans="1:2" x14ac:dyDescent="0.2">
      <c r="A460" s="1"/>
      <c r="B460" s="4"/>
    </row>
    <row r="461" spans="1:2" x14ac:dyDescent="0.2">
      <c r="A461" s="1"/>
      <c r="B461" s="4"/>
    </row>
    <row r="462" spans="1:2" x14ac:dyDescent="0.2">
      <c r="A462" s="1"/>
      <c r="B462" s="4"/>
    </row>
    <row r="463" spans="1:2" x14ac:dyDescent="0.2">
      <c r="A463" s="1"/>
      <c r="B463" s="4"/>
    </row>
    <row r="464" spans="1:2" x14ac:dyDescent="0.2">
      <c r="A464" s="1"/>
      <c r="B464" s="4"/>
    </row>
    <row r="465" spans="1:2" x14ac:dyDescent="0.2">
      <c r="A465" s="1"/>
      <c r="B465" s="4"/>
    </row>
    <row r="466" spans="1:2" x14ac:dyDescent="0.2">
      <c r="A466" s="1"/>
      <c r="B466" s="4"/>
    </row>
    <row r="467" spans="1:2" x14ac:dyDescent="0.2">
      <c r="A467" s="1"/>
      <c r="B467" s="4"/>
    </row>
    <row r="468" spans="1:2" x14ac:dyDescent="0.2">
      <c r="A468" s="1"/>
      <c r="B468" s="4"/>
    </row>
    <row r="469" spans="1:2" x14ac:dyDescent="0.2">
      <c r="A469" s="1"/>
      <c r="B469" s="4"/>
    </row>
    <row r="470" spans="1:2" x14ac:dyDescent="0.2">
      <c r="A470" s="1"/>
      <c r="B470" s="4"/>
    </row>
    <row r="471" spans="1:2" x14ac:dyDescent="0.2">
      <c r="A471" s="1"/>
      <c r="B471" s="4"/>
    </row>
    <row r="472" spans="1:2" x14ac:dyDescent="0.2">
      <c r="A472" s="1"/>
      <c r="B472" s="4"/>
    </row>
    <row r="473" spans="1:2" x14ac:dyDescent="0.2">
      <c r="A473" s="1"/>
      <c r="B473" s="4"/>
    </row>
    <row r="474" spans="1:2" x14ac:dyDescent="0.2">
      <c r="A474" s="1"/>
      <c r="B474" s="4"/>
    </row>
    <row r="475" spans="1:2" x14ac:dyDescent="0.2">
      <c r="A475" s="1"/>
      <c r="B475" s="4"/>
    </row>
    <row r="476" spans="1:2" x14ac:dyDescent="0.2">
      <c r="A476" s="1"/>
      <c r="B476" s="4"/>
    </row>
    <row r="477" spans="1:2" x14ac:dyDescent="0.2">
      <c r="A477" s="1"/>
      <c r="B477" s="4"/>
    </row>
    <row r="478" spans="1:2" x14ac:dyDescent="0.2">
      <c r="A478" s="1"/>
      <c r="B478" s="4"/>
    </row>
    <row r="479" spans="1:2" x14ac:dyDescent="0.2">
      <c r="A479" s="1"/>
      <c r="B479" s="4"/>
    </row>
    <row r="480" spans="1:2" x14ac:dyDescent="0.2">
      <c r="A480" s="1"/>
      <c r="B480" s="4"/>
    </row>
    <row r="481" spans="1:2" x14ac:dyDescent="0.2">
      <c r="A481" s="1"/>
      <c r="B481" s="4"/>
    </row>
    <row r="482" spans="1:2" x14ac:dyDescent="0.2">
      <c r="A482" s="1"/>
      <c r="B482" s="4"/>
    </row>
    <row r="483" spans="1:2" x14ac:dyDescent="0.2">
      <c r="A483" s="1"/>
      <c r="B483" s="4"/>
    </row>
    <row r="484" spans="1:2" x14ac:dyDescent="0.2">
      <c r="A484" s="1"/>
      <c r="B484" s="4"/>
    </row>
    <row r="485" spans="1:2" x14ac:dyDescent="0.2">
      <c r="A485" s="1"/>
      <c r="B485" s="4"/>
    </row>
    <row r="486" spans="1:2" x14ac:dyDescent="0.2">
      <c r="A486" s="1"/>
      <c r="B486" s="4"/>
    </row>
    <row r="487" spans="1:2" x14ac:dyDescent="0.2">
      <c r="A487" s="1"/>
      <c r="B487" s="4"/>
    </row>
    <row r="488" spans="1:2" x14ac:dyDescent="0.2">
      <c r="A488" s="1"/>
      <c r="B488" s="4"/>
    </row>
    <row r="489" spans="1:2" x14ac:dyDescent="0.2">
      <c r="A489" s="1"/>
      <c r="B489" s="4"/>
    </row>
    <row r="490" spans="1:2" x14ac:dyDescent="0.2">
      <c r="A490" s="1"/>
      <c r="B490" s="4"/>
    </row>
    <row r="491" spans="1:2" x14ac:dyDescent="0.2">
      <c r="A491" s="1"/>
      <c r="B491" s="4"/>
    </row>
    <row r="492" spans="1:2" x14ac:dyDescent="0.2">
      <c r="A492" s="1"/>
      <c r="B492" s="4"/>
    </row>
    <row r="493" spans="1:2" x14ac:dyDescent="0.2">
      <c r="A493" s="1"/>
      <c r="B493" s="4"/>
    </row>
    <row r="494" spans="1:2" x14ac:dyDescent="0.2">
      <c r="A494" s="1"/>
      <c r="B494" s="4"/>
    </row>
    <row r="495" spans="1:2" x14ac:dyDescent="0.2">
      <c r="A495" s="1"/>
      <c r="B495" s="4"/>
    </row>
    <row r="496" spans="1:2" x14ac:dyDescent="0.2">
      <c r="A496" s="1"/>
      <c r="B496" s="4"/>
    </row>
    <row r="497" spans="1:2" x14ac:dyDescent="0.2">
      <c r="A497" s="1"/>
      <c r="B497" s="4"/>
    </row>
    <row r="498" spans="1:2" x14ac:dyDescent="0.2">
      <c r="A498" s="1"/>
      <c r="B498" s="4"/>
    </row>
    <row r="499" spans="1:2" x14ac:dyDescent="0.2">
      <c r="A499" s="1"/>
      <c r="B499" s="4"/>
    </row>
    <row r="500" spans="1:2" x14ac:dyDescent="0.2">
      <c r="A500" s="1"/>
      <c r="B500" s="4"/>
    </row>
    <row r="501" spans="1:2" x14ac:dyDescent="0.2">
      <c r="A501" s="1"/>
      <c r="B501" s="4"/>
    </row>
    <row r="502" spans="1:2" x14ac:dyDescent="0.2">
      <c r="A502" s="1"/>
      <c r="B502" s="4"/>
    </row>
    <row r="503" spans="1:2" x14ac:dyDescent="0.2">
      <c r="A503" s="1"/>
      <c r="B503" s="4"/>
    </row>
    <row r="504" spans="1:2" x14ac:dyDescent="0.2">
      <c r="A504" s="1"/>
      <c r="B504" s="4"/>
    </row>
    <row r="505" spans="1:2" x14ac:dyDescent="0.2">
      <c r="A505" s="1"/>
      <c r="B505" s="4"/>
    </row>
    <row r="506" spans="1:2" x14ac:dyDescent="0.2">
      <c r="A506" s="1"/>
      <c r="B506" s="4"/>
    </row>
    <row r="507" spans="1:2" x14ac:dyDescent="0.2">
      <c r="A507" s="1"/>
      <c r="B507" s="4"/>
    </row>
    <row r="508" spans="1:2" x14ac:dyDescent="0.2">
      <c r="A508" s="1"/>
      <c r="B508" s="4"/>
    </row>
    <row r="509" spans="1:2" x14ac:dyDescent="0.2">
      <c r="A509" s="1"/>
      <c r="B509" s="4"/>
    </row>
    <row r="510" spans="1:2" x14ac:dyDescent="0.2">
      <c r="A510" s="1"/>
      <c r="B510" s="4"/>
    </row>
    <row r="511" spans="1:2" x14ac:dyDescent="0.2">
      <c r="A511" s="1"/>
      <c r="B511" s="4"/>
    </row>
    <row r="512" spans="1:2" x14ac:dyDescent="0.2">
      <c r="A512" s="1"/>
      <c r="B512" s="4"/>
    </row>
    <row r="513" spans="1:2" x14ac:dyDescent="0.2">
      <c r="A513" s="1"/>
      <c r="B513" s="4"/>
    </row>
    <row r="514" spans="1:2" x14ac:dyDescent="0.2">
      <c r="A514" s="1"/>
      <c r="B514" s="4"/>
    </row>
    <row r="515" spans="1:2" x14ac:dyDescent="0.2">
      <c r="A515" s="1"/>
      <c r="B515" s="4"/>
    </row>
    <row r="516" spans="1:2" x14ac:dyDescent="0.2">
      <c r="A516" s="1"/>
      <c r="B516" s="4"/>
    </row>
    <row r="517" spans="1:2" x14ac:dyDescent="0.2">
      <c r="A517" s="1"/>
      <c r="B517" s="4"/>
    </row>
    <row r="518" spans="1:2" x14ac:dyDescent="0.2">
      <c r="A518" s="1"/>
      <c r="B518" s="4"/>
    </row>
    <row r="519" spans="1:2" x14ac:dyDescent="0.2">
      <c r="A519" s="1"/>
      <c r="B519" s="4"/>
    </row>
    <row r="520" spans="1:2" x14ac:dyDescent="0.2">
      <c r="A520" s="1"/>
      <c r="B520" s="4"/>
    </row>
    <row r="521" spans="1:2" x14ac:dyDescent="0.2">
      <c r="A521" s="1"/>
      <c r="B521" s="4"/>
    </row>
    <row r="522" spans="1:2" x14ac:dyDescent="0.2">
      <c r="A522" s="1"/>
      <c r="B522" s="4"/>
    </row>
    <row r="523" spans="1:2" x14ac:dyDescent="0.2">
      <c r="A523" s="1"/>
      <c r="B523" s="4"/>
    </row>
    <row r="524" spans="1:2" x14ac:dyDescent="0.2">
      <c r="A524" s="1"/>
      <c r="B524" s="4"/>
    </row>
    <row r="525" spans="1:2" x14ac:dyDescent="0.2">
      <c r="A525" s="1"/>
      <c r="B525" s="4"/>
    </row>
    <row r="526" spans="1:2" x14ac:dyDescent="0.2">
      <c r="A526" s="1"/>
      <c r="B526" s="4"/>
    </row>
    <row r="527" spans="1:2" x14ac:dyDescent="0.2">
      <c r="A527" s="1"/>
      <c r="B527" s="4"/>
    </row>
    <row r="528" spans="1:2" x14ac:dyDescent="0.2">
      <c r="A528" s="1"/>
      <c r="B528" s="4"/>
    </row>
    <row r="529" spans="1:2" x14ac:dyDescent="0.2">
      <c r="A529" s="1"/>
      <c r="B529" s="4"/>
    </row>
    <row r="530" spans="1:2" x14ac:dyDescent="0.2">
      <c r="A530" s="1"/>
      <c r="B530" s="4"/>
    </row>
    <row r="531" spans="1:2" x14ac:dyDescent="0.2">
      <c r="A531" s="1"/>
      <c r="B53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55F4-83AF-B14B-AD24-55DB33E1BC98}">
  <dimension ref="A1:B526"/>
  <sheetViews>
    <sheetView showGridLines="0" tabSelected="1" workbookViewId="0">
      <selection activeCell="B1" sqref="B1"/>
    </sheetView>
  </sheetViews>
  <sheetFormatPr baseColWidth="10" defaultColWidth="11" defaultRowHeight="16" x14ac:dyDescent="0.2"/>
  <cols>
    <col min="1" max="1" width="10.33203125" bestFit="1" customWidth="1"/>
    <col min="2" max="2" width="14.6640625" bestFit="1" customWidth="1"/>
  </cols>
  <sheetData>
    <row r="1" spans="1:2" x14ac:dyDescent="0.2">
      <c r="A1" s="9" t="s">
        <v>8</v>
      </c>
      <c r="B1" s="9" t="s">
        <v>44</v>
      </c>
    </row>
    <row r="2" spans="1:2" x14ac:dyDescent="0.2">
      <c r="A2" s="1">
        <v>29952</v>
      </c>
      <c r="B2" s="31">
        <v>146115633</v>
      </c>
    </row>
    <row r="3" spans="1:2" x14ac:dyDescent="0.2">
      <c r="A3" s="1">
        <v>30042</v>
      </c>
      <c r="B3" s="31">
        <v>146728467</v>
      </c>
    </row>
    <row r="4" spans="1:2" x14ac:dyDescent="0.2">
      <c r="A4" s="1">
        <v>30133</v>
      </c>
      <c r="B4" s="31">
        <v>147174633</v>
      </c>
    </row>
    <row r="5" spans="1:2" x14ac:dyDescent="0.2">
      <c r="A5" s="1">
        <v>30225</v>
      </c>
      <c r="B5" s="31">
        <v>147682900</v>
      </c>
    </row>
    <row r="6" spans="1:2" x14ac:dyDescent="0.2">
      <c r="A6" s="1">
        <v>30317</v>
      </c>
      <c r="B6" s="31">
        <v>147522833</v>
      </c>
    </row>
    <row r="7" spans="1:2" x14ac:dyDescent="0.2">
      <c r="A7" s="1">
        <v>30407</v>
      </c>
      <c r="B7" s="31">
        <v>148211267</v>
      </c>
    </row>
    <row r="8" spans="1:2" x14ac:dyDescent="0.2">
      <c r="A8" s="1">
        <v>30498</v>
      </c>
      <c r="B8" s="31">
        <v>148536567</v>
      </c>
    </row>
    <row r="9" spans="1:2" x14ac:dyDescent="0.2">
      <c r="A9" s="1">
        <v>30590</v>
      </c>
      <c r="B9" s="31">
        <v>148934367</v>
      </c>
    </row>
    <row r="10" spans="1:2" x14ac:dyDescent="0.2">
      <c r="A10" s="1">
        <v>30682</v>
      </c>
      <c r="B10" s="31">
        <v>149281167</v>
      </c>
    </row>
    <row r="11" spans="1:2" x14ac:dyDescent="0.2">
      <c r="A11" s="1">
        <v>30773</v>
      </c>
      <c r="B11" s="31">
        <v>149724100</v>
      </c>
    </row>
    <row r="12" spans="1:2" x14ac:dyDescent="0.2">
      <c r="A12" s="1">
        <v>30864</v>
      </c>
      <c r="B12" s="31">
        <v>150109367</v>
      </c>
    </row>
    <row r="13" spans="1:2" x14ac:dyDescent="0.2">
      <c r="A13" s="1">
        <v>30956</v>
      </c>
      <c r="B13" s="31">
        <v>150504433</v>
      </c>
    </row>
    <row r="14" spans="1:2" x14ac:dyDescent="0.2">
      <c r="A14" s="1">
        <v>31048</v>
      </c>
      <c r="B14" s="31">
        <v>150668567</v>
      </c>
    </row>
    <row r="15" spans="1:2" x14ac:dyDescent="0.2">
      <c r="A15" s="1">
        <v>31138</v>
      </c>
      <c r="B15" s="31">
        <v>151059267</v>
      </c>
    </row>
    <row r="16" spans="1:2" x14ac:dyDescent="0.2">
      <c r="A16" s="1">
        <v>31229</v>
      </c>
      <c r="B16" s="31">
        <v>151378067</v>
      </c>
    </row>
    <row r="17" spans="1:2" x14ac:dyDescent="0.2">
      <c r="A17" s="1">
        <v>31321</v>
      </c>
      <c r="B17" s="31">
        <v>151775267</v>
      </c>
    </row>
    <row r="18" spans="1:2" x14ac:dyDescent="0.2">
      <c r="A18" s="1">
        <v>31413</v>
      </c>
      <c r="B18" s="31">
        <v>152454267</v>
      </c>
    </row>
    <row r="19" spans="1:2" x14ac:dyDescent="0.2">
      <c r="A19" s="1">
        <v>31503</v>
      </c>
      <c r="B19" s="31">
        <v>152904433</v>
      </c>
    </row>
    <row r="20" spans="1:2" x14ac:dyDescent="0.2">
      <c r="A20" s="1">
        <v>31594</v>
      </c>
      <c r="B20" s="31">
        <v>153279267</v>
      </c>
    </row>
    <row r="21" spans="1:2" x14ac:dyDescent="0.2">
      <c r="A21" s="1">
        <v>31686</v>
      </c>
      <c r="B21" s="31">
        <v>153704733</v>
      </c>
    </row>
    <row r="22" spans="1:2" x14ac:dyDescent="0.2">
      <c r="A22" s="1">
        <v>31778</v>
      </c>
      <c r="B22" s="31">
        <v>154032200</v>
      </c>
    </row>
    <row r="23" spans="1:2" x14ac:dyDescent="0.2">
      <c r="A23" s="1">
        <v>31868</v>
      </c>
      <c r="B23" s="31">
        <v>154510667</v>
      </c>
    </row>
    <row r="24" spans="1:2" x14ac:dyDescent="0.2">
      <c r="A24" s="1">
        <v>31959</v>
      </c>
      <c r="B24" s="31">
        <v>154813400</v>
      </c>
    </row>
    <row r="25" spans="1:2" x14ac:dyDescent="0.2">
      <c r="A25" s="1">
        <v>32051</v>
      </c>
      <c r="B25" s="31">
        <v>155157200</v>
      </c>
    </row>
    <row r="26" spans="1:2" x14ac:dyDescent="0.2">
      <c r="A26" s="1">
        <v>32143</v>
      </c>
      <c r="B26" s="31">
        <v>155506533</v>
      </c>
    </row>
    <row r="27" spans="1:2" x14ac:dyDescent="0.2">
      <c r="A27" s="1">
        <v>32234</v>
      </c>
      <c r="B27" s="31">
        <v>155820933</v>
      </c>
    </row>
    <row r="28" spans="1:2" x14ac:dyDescent="0.2">
      <c r="A28" s="1">
        <v>32325</v>
      </c>
      <c r="B28" s="31">
        <v>156155567</v>
      </c>
    </row>
    <row r="29" spans="1:2" x14ac:dyDescent="0.2">
      <c r="A29" s="1">
        <v>32417</v>
      </c>
      <c r="B29" s="31">
        <v>156508167</v>
      </c>
    </row>
    <row r="30" spans="1:2" x14ac:dyDescent="0.2">
      <c r="A30" s="1">
        <v>32509</v>
      </c>
      <c r="B30" s="31">
        <v>156822033</v>
      </c>
    </row>
    <row r="31" spans="1:2" x14ac:dyDescent="0.2">
      <c r="A31" s="1">
        <v>32599</v>
      </c>
      <c r="B31" s="31">
        <v>156974300</v>
      </c>
    </row>
    <row r="32" spans="1:2" x14ac:dyDescent="0.2">
      <c r="A32" s="1">
        <v>32690</v>
      </c>
      <c r="B32" s="31">
        <v>157330333</v>
      </c>
    </row>
    <row r="33" spans="1:2" x14ac:dyDescent="0.2">
      <c r="A33" s="1">
        <v>32782</v>
      </c>
      <c r="B33" s="31">
        <v>157779600</v>
      </c>
    </row>
    <row r="34" spans="1:2" x14ac:dyDescent="0.2">
      <c r="A34" s="1">
        <v>32874</v>
      </c>
      <c r="B34" s="31">
        <v>159385067</v>
      </c>
    </row>
    <row r="35" spans="1:2" x14ac:dyDescent="0.2">
      <c r="A35" s="1">
        <v>32964</v>
      </c>
      <c r="B35" s="31">
        <v>159633767</v>
      </c>
    </row>
    <row r="36" spans="1:2" x14ac:dyDescent="0.2">
      <c r="A36" s="1">
        <v>33055</v>
      </c>
      <c r="B36" s="31">
        <v>160001900</v>
      </c>
    </row>
    <row r="37" spans="1:2" x14ac:dyDescent="0.2">
      <c r="A37" s="1">
        <v>33147</v>
      </c>
      <c r="B37" s="31">
        <v>160481000</v>
      </c>
    </row>
    <row r="38" spans="1:2" x14ac:dyDescent="0.2">
      <c r="A38" s="1">
        <v>33239</v>
      </c>
      <c r="B38" s="31">
        <v>160708033</v>
      </c>
    </row>
    <row r="39" spans="1:2" x14ac:dyDescent="0.2">
      <c r="A39" s="1">
        <v>33329</v>
      </c>
      <c r="B39" s="31">
        <v>161073833</v>
      </c>
    </row>
    <row r="40" spans="1:2" x14ac:dyDescent="0.2">
      <c r="A40" s="1">
        <v>33420</v>
      </c>
      <c r="B40" s="31">
        <v>161367800</v>
      </c>
    </row>
    <row r="41" spans="1:2" x14ac:dyDescent="0.2">
      <c r="A41" s="1">
        <v>33512</v>
      </c>
      <c r="B41" s="31">
        <v>161835467</v>
      </c>
    </row>
    <row r="42" spans="1:2" x14ac:dyDescent="0.2">
      <c r="A42" s="1">
        <v>33604</v>
      </c>
      <c r="B42" s="31">
        <v>161989600</v>
      </c>
    </row>
    <row r="43" spans="1:2" x14ac:dyDescent="0.2">
      <c r="A43" s="1">
        <v>33695</v>
      </c>
      <c r="B43" s="31">
        <v>162375133</v>
      </c>
    </row>
    <row r="44" spans="1:2" x14ac:dyDescent="0.2">
      <c r="A44" s="1">
        <v>33786</v>
      </c>
      <c r="B44" s="31">
        <v>162762167</v>
      </c>
    </row>
    <row r="45" spans="1:2" x14ac:dyDescent="0.2">
      <c r="A45" s="1">
        <v>33878</v>
      </c>
      <c r="B45" s="31">
        <v>163395533</v>
      </c>
    </row>
    <row r="46" spans="1:2" x14ac:dyDescent="0.2">
      <c r="A46" s="1">
        <v>33970</v>
      </c>
      <c r="B46" s="31">
        <v>163519900</v>
      </c>
    </row>
    <row r="47" spans="1:2" x14ac:dyDescent="0.2">
      <c r="A47" s="1">
        <v>34060</v>
      </c>
      <c r="B47" s="31">
        <v>163964667</v>
      </c>
    </row>
    <row r="48" spans="1:2" x14ac:dyDescent="0.2">
      <c r="A48" s="1">
        <v>34151</v>
      </c>
      <c r="B48" s="31">
        <v>164359100</v>
      </c>
    </row>
    <row r="49" spans="1:2" x14ac:dyDescent="0.2">
      <c r="A49" s="1">
        <v>34243</v>
      </c>
      <c r="B49" s="31">
        <v>164867133</v>
      </c>
    </row>
    <row r="50" spans="1:2" x14ac:dyDescent="0.2">
      <c r="A50" s="1">
        <v>34335</v>
      </c>
      <c r="B50" s="31">
        <v>165216033</v>
      </c>
    </row>
    <row r="51" spans="1:2" x14ac:dyDescent="0.2">
      <c r="A51" s="1">
        <v>34425</v>
      </c>
      <c r="B51" s="31">
        <v>165692000</v>
      </c>
    </row>
    <row r="52" spans="1:2" x14ac:dyDescent="0.2">
      <c r="A52" s="1">
        <v>34516</v>
      </c>
      <c r="B52" s="31">
        <v>166031267</v>
      </c>
    </row>
    <row r="53" spans="1:2" x14ac:dyDescent="0.2">
      <c r="A53" s="1">
        <v>34608</v>
      </c>
      <c r="B53" s="31">
        <v>166300600</v>
      </c>
    </row>
    <row r="54" spans="1:2" x14ac:dyDescent="0.2">
      <c r="A54" s="1">
        <v>34700</v>
      </c>
      <c r="B54" s="31">
        <v>166551033</v>
      </c>
    </row>
    <row r="55" spans="1:2" x14ac:dyDescent="0.2">
      <c r="A55" s="1">
        <v>34790</v>
      </c>
      <c r="B55" s="31">
        <v>166980300</v>
      </c>
    </row>
    <row r="56" spans="1:2" x14ac:dyDescent="0.2">
      <c r="A56" s="1">
        <v>34881</v>
      </c>
      <c r="B56" s="31">
        <v>167329100</v>
      </c>
    </row>
    <row r="57" spans="1:2" x14ac:dyDescent="0.2">
      <c r="A57" s="1">
        <v>34973</v>
      </c>
      <c r="B57" s="31">
        <v>167775933</v>
      </c>
    </row>
    <row r="58" spans="1:2" x14ac:dyDescent="0.2">
      <c r="A58" s="1">
        <v>35065</v>
      </c>
      <c r="B58" s="31">
        <v>168102267</v>
      </c>
    </row>
    <row r="59" spans="1:2" x14ac:dyDescent="0.2">
      <c r="A59" s="1">
        <v>35156</v>
      </c>
      <c r="B59" s="31">
        <v>168639167</v>
      </c>
    </row>
    <row r="60" spans="1:2" x14ac:dyDescent="0.2">
      <c r="A60" s="1">
        <v>35247</v>
      </c>
      <c r="B60" s="31">
        <v>169027967</v>
      </c>
    </row>
    <row r="61" spans="1:2" x14ac:dyDescent="0.2">
      <c r="A61" s="1">
        <v>35339</v>
      </c>
      <c r="B61" s="31">
        <v>169610300</v>
      </c>
    </row>
    <row r="62" spans="1:2" x14ac:dyDescent="0.2">
      <c r="A62" s="1">
        <v>35431</v>
      </c>
      <c r="B62" s="31">
        <v>170470000</v>
      </c>
    </row>
    <row r="63" spans="1:2" x14ac:dyDescent="0.2">
      <c r="A63" s="1">
        <v>35521</v>
      </c>
      <c r="B63" s="31">
        <v>170908433</v>
      </c>
    </row>
    <row r="64" spans="1:2" x14ac:dyDescent="0.2">
      <c r="A64" s="1">
        <v>35612</v>
      </c>
      <c r="B64" s="31">
        <v>171347567</v>
      </c>
    </row>
    <row r="65" spans="1:2" x14ac:dyDescent="0.2">
      <c r="A65" s="1">
        <v>35704</v>
      </c>
      <c r="B65" s="31">
        <v>171829567</v>
      </c>
    </row>
    <row r="66" spans="1:2" x14ac:dyDescent="0.2">
      <c r="A66" s="1">
        <v>35796</v>
      </c>
      <c r="B66" s="31">
        <v>172265433</v>
      </c>
    </row>
    <row r="67" spans="1:2" x14ac:dyDescent="0.2">
      <c r="A67" s="1">
        <v>35886</v>
      </c>
      <c r="B67" s="31">
        <v>172715100</v>
      </c>
    </row>
    <row r="68" spans="1:2" x14ac:dyDescent="0.2">
      <c r="A68" s="1">
        <v>35977</v>
      </c>
      <c r="B68" s="31">
        <v>173267733</v>
      </c>
    </row>
    <row r="69" spans="1:2" x14ac:dyDescent="0.2">
      <c r="A69" s="1">
        <v>36069</v>
      </c>
      <c r="B69" s="31">
        <v>173717867</v>
      </c>
    </row>
    <row r="70" spans="1:2" x14ac:dyDescent="0.2">
      <c r="A70" s="1">
        <v>36161</v>
      </c>
      <c r="B70" s="31">
        <v>174520067</v>
      </c>
    </row>
    <row r="71" spans="1:2" x14ac:dyDescent="0.2">
      <c r="A71" s="1">
        <v>36251</v>
      </c>
      <c r="B71" s="31">
        <v>175015567</v>
      </c>
    </row>
    <row r="72" spans="1:2" x14ac:dyDescent="0.2">
      <c r="A72" s="1">
        <v>36342</v>
      </c>
      <c r="B72" s="31">
        <v>175577533</v>
      </c>
    </row>
    <row r="73" spans="1:2" x14ac:dyDescent="0.2">
      <c r="A73" s="1">
        <v>36434</v>
      </c>
      <c r="B73" s="31">
        <v>176056800</v>
      </c>
    </row>
    <row r="74" spans="1:2" x14ac:dyDescent="0.2">
      <c r="A74" s="1">
        <v>36526</v>
      </c>
      <c r="B74" s="31">
        <v>178285000</v>
      </c>
    </row>
    <row r="75" spans="1:2" x14ac:dyDescent="0.2">
      <c r="A75" s="1">
        <v>36617</v>
      </c>
      <c r="B75" s="31">
        <v>178790700</v>
      </c>
    </row>
    <row r="76" spans="1:2" x14ac:dyDescent="0.2">
      <c r="A76" s="1">
        <v>36708</v>
      </c>
      <c r="B76" s="31">
        <v>179477867</v>
      </c>
    </row>
    <row r="77" spans="1:2" x14ac:dyDescent="0.2">
      <c r="A77" s="1">
        <v>36800</v>
      </c>
      <c r="B77" s="31">
        <v>179930767</v>
      </c>
    </row>
    <row r="78" spans="1:2" x14ac:dyDescent="0.2">
      <c r="A78" s="1">
        <v>36892</v>
      </c>
      <c r="B78" s="31">
        <v>180482100</v>
      </c>
    </row>
    <row r="79" spans="1:2" x14ac:dyDescent="0.2">
      <c r="A79" s="1">
        <v>36982</v>
      </c>
      <c r="B79" s="31">
        <v>181072933</v>
      </c>
    </row>
    <row r="80" spans="1:2" x14ac:dyDescent="0.2">
      <c r="A80" s="1">
        <v>37073</v>
      </c>
      <c r="B80" s="31">
        <v>181821267</v>
      </c>
    </row>
    <row r="81" spans="1:2" x14ac:dyDescent="0.2">
      <c r="A81" s="1">
        <v>37165</v>
      </c>
      <c r="B81" s="31">
        <v>182491633</v>
      </c>
    </row>
    <row r="82" spans="1:2" x14ac:dyDescent="0.2">
      <c r="A82" s="1">
        <v>37257</v>
      </c>
      <c r="B82" s="31">
        <v>182851500</v>
      </c>
    </row>
    <row r="83" spans="1:2" x14ac:dyDescent="0.2">
      <c r="A83" s="1">
        <v>37347</v>
      </c>
      <c r="B83" s="31">
        <v>183481833</v>
      </c>
    </row>
    <row r="84" spans="1:2" x14ac:dyDescent="0.2">
      <c r="A84" s="1">
        <v>37438</v>
      </c>
      <c r="B84" s="31">
        <v>184086500</v>
      </c>
    </row>
    <row r="85" spans="1:2" x14ac:dyDescent="0.2">
      <c r="A85" s="1">
        <v>37530</v>
      </c>
      <c r="B85" s="31">
        <v>184716767</v>
      </c>
    </row>
    <row r="86" spans="1:2" x14ac:dyDescent="0.2">
      <c r="A86" s="1">
        <v>37622</v>
      </c>
      <c r="B86" s="31">
        <v>185865967</v>
      </c>
    </row>
    <row r="87" spans="1:2" x14ac:dyDescent="0.2">
      <c r="A87" s="1">
        <v>37712</v>
      </c>
      <c r="B87" s="31">
        <v>186685333</v>
      </c>
    </row>
    <row r="88" spans="1:2" x14ac:dyDescent="0.2">
      <c r="A88" s="1">
        <v>37803</v>
      </c>
      <c r="B88" s="31">
        <v>187367733</v>
      </c>
    </row>
    <row r="89" spans="1:2" x14ac:dyDescent="0.2">
      <c r="A89" s="1">
        <v>37895</v>
      </c>
      <c r="B89" s="31">
        <v>187886033</v>
      </c>
    </row>
    <row r="90" spans="1:2" x14ac:dyDescent="0.2">
      <c r="A90" s="1">
        <v>37987</v>
      </c>
      <c r="B90" s="31">
        <v>187834767</v>
      </c>
    </row>
    <row r="91" spans="1:2" x14ac:dyDescent="0.2">
      <c r="A91" s="1">
        <v>38078</v>
      </c>
      <c r="B91" s="31">
        <v>188519467</v>
      </c>
    </row>
    <row r="92" spans="1:2" x14ac:dyDescent="0.2">
      <c r="A92" s="1">
        <v>38169</v>
      </c>
      <c r="B92" s="31">
        <v>189030333</v>
      </c>
    </row>
    <row r="93" spans="1:2" x14ac:dyDescent="0.2">
      <c r="A93" s="1">
        <v>38261</v>
      </c>
      <c r="B93" s="31">
        <v>189653400</v>
      </c>
    </row>
    <row r="94" spans="1:2" x14ac:dyDescent="0.2">
      <c r="A94" s="1">
        <v>38353</v>
      </c>
      <c r="B94" s="31">
        <v>190219133</v>
      </c>
    </row>
    <row r="95" spans="1:2" x14ac:dyDescent="0.2">
      <c r="A95" s="1">
        <v>38443</v>
      </c>
      <c r="B95" s="31">
        <v>190690167</v>
      </c>
    </row>
    <row r="96" spans="1:2" x14ac:dyDescent="0.2">
      <c r="A96" s="1">
        <v>38534</v>
      </c>
      <c r="B96" s="31">
        <v>191240167</v>
      </c>
    </row>
    <row r="97" spans="1:2" x14ac:dyDescent="0.2">
      <c r="A97" s="1">
        <v>38626</v>
      </c>
      <c r="B97" s="31">
        <v>191956400</v>
      </c>
    </row>
    <row r="98" spans="1:2" x14ac:dyDescent="0.2">
      <c r="A98" s="1">
        <v>38718</v>
      </c>
      <c r="B98" s="31">
        <v>192485900</v>
      </c>
    </row>
    <row r="99" spans="1:2" x14ac:dyDescent="0.2">
      <c r="A99" s="1">
        <v>38808</v>
      </c>
      <c r="B99" s="31">
        <v>192969867</v>
      </c>
    </row>
    <row r="100" spans="1:2" x14ac:dyDescent="0.2">
      <c r="A100" s="1">
        <v>38899</v>
      </c>
      <c r="B100" s="31">
        <v>193501567</v>
      </c>
    </row>
    <row r="101" spans="1:2" x14ac:dyDescent="0.2">
      <c r="A101" s="1">
        <v>38991</v>
      </c>
      <c r="B101" s="31">
        <v>193909133</v>
      </c>
    </row>
    <row r="102" spans="1:2" x14ac:dyDescent="0.2">
      <c r="A102" s="1">
        <v>39083</v>
      </c>
      <c r="B102" s="31">
        <v>195013733</v>
      </c>
    </row>
    <row r="103" spans="1:2" x14ac:dyDescent="0.2">
      <c r="A103" s="1">
        <v>39173</v>
      </c>
      <c r="B103" s="31">
        <v>195440133</v>
      </c>
    </row>
    <row r="104" spans="1:2" x14ac:dyDescent="0.2">
      <c r="A104" s="1">
        <v>39264</v>
      </c>
      <c r="B104" s="31">
        <v>195949567</v>
      </c>
    </row>
    <row r="105" spans="1:2" x14ac:dyDescent="0.2">
      <c r="A105" s="1">
        <v>39356</v>
      </c>
      <c r="B105" s="31">
        <v>196232900</v>
      </c>
    </row>
    <row r="106" spans="1:2" x14ac:dyDescent="0.2">
      <c r="A106" s="1">
        <v>39448</v>
      </c>
      <c r="B106" s="31">
        <v>196220533</v>
      </c>
    </row>
    <row r="107" spans="1:2" x14ac:dyDescent="0.2">
      <c r="A107" s="1">
        <v>39539</v>
      </c>
      <c r="B107" s="31">
        <v>196392667</v>
      </c>
    </row>
    <row r="108" spans="1:2" x14ac:dyDescent="0.2">
      <c r="A108" s="1">
        <v>39630</v>
      </c>
      <c r="B108" s="31">
        <v>196702133</v>
      </c>
    </row>
    <row r="109" spans="1:2" x14ac:dyDescent="0.2">
      <c r="A109" s="1">
        <v>39722</v>
      </c>
      <c r="B109" s="31">
        <v>197184000</v>
      </c>
    </row>
    <row r="110" spans="1:2" x14ac:dyDescent="0.2">
      <c r="A110" s="1">
        <v>39814</v>
      </c>
      <c r="B110" s="31">
        <v>197282300</v>
      </c>
    </row>
    <row r="111" spans="1:2" x14ac:dyDescent="0.2">
      <c r="A111" s="1">
        <v>39904</v>
      </c>
      <c r="B111" s="31">
        <v>197798867</v>
      </c>
    </row>
    <row r="112" spans="1:2" x14ac:dyDescent="0.2">
      <c r="A112" s="1">
        <v>39995</v>
      </c>
      <c r="B112" s="31">
        <v>198042867</v>
      </c>
    </row>
    <row r="113" spans="1:2" x14ac:dyDescent="0.2">
      <c r="A113" s="1">
        <v>40087</v>
      </c>
      <c r="B113" s="31">
        <v>198717633</v>
      </c>
    </row>
    <row r="114" spans="1:2" x14ac:dyDescent="0.2">
      <c r="A114" s="1">
        <v>40179</v>
      </c>
      <c r="B114" s="31">
        <v>198436100</v>
      </c>
    </row>
    <row r="115" spans="1:2" x14ac:dyDescent="0.2">
      <c r="A115" s="1">
        <v>40269</v>
      </c>
      <c r="B115" s="31">
        <v>199006033</v>
      </c>
    </row>
    <row r="116" spans="1:2" x14ac:dyDescent="0.2">
      <c r="A116" s="1">
        <v>40360</v>
      </c>
      <c r="B116" s="31">
        <v>199254867</v>
      </c>
    </row>
    <row r="117" spans="1:2" x14ac:dyDescent="0.2">
      <c r="A117" s="1">
        <v>40452</v>
      </c>
      <c r="B117" s="31">
        <v>199958967</v>
      </c>
    </row>
    <row r="118" spans="1:2" x14ac:dyDescent="0.2">
      <c r="A118" s="1">
        <v>40544</v>
      </c>
      <c r="B118" s="31">
        <v>199339900</v>
      </c>
    </row>
    <row r="119" spans="1:2" x14ac:dyDescent="0.2">
      <c r="A119" s="1">
        <v>40634</v>
      </c>
      <c r="B119" s="31">
        <v>199984667</v>
      </c>
    </row>
    <row r="120" spans="1:2" x14ac:dyDescent="0.2">
      <c r="A120" s="1">
        <v>40725</v>
      </c>
      <c r="B120" s="31">
        <v>200161867</v>
      </c>
    </row>
    <row r="121" spans="1:2" x14ac:dyDescent="0.2">
      <c r="A121" s="1">
        <v>40817</v>
      </c>
      <c r="B121" s="31">
        <v>200359733</v>
      </c>
    </row>
    <row r="122" spans="1:2" x14ac:dyDescent="0.2">
      <c r="A122" s="1">
        <v>40909</v>
      </c>
      <c r="B122" s="31">
        <v>201106567</v>
      </c>
    </row>
    <row r="123" spans="1:2" x14ac:dyDescent="0.2">
      <c r="A123" s="1">
        <v>41000</v>
      </c>
      <c r="B123" s="31">
        <v>201487533</v>
      </c>
    </row>
    <row r="124" spans="1:2" x14ac:dyDescent="0.2">
      <c r="A124" s="1">
        <v>41091</v>
      </c>
      <c r="B124" s="31">
        <v>201552933</v>
      </c>
    </row>
    <row r="125" spans="1:2" x14ac:dyDescent="0.2">
      <c r="A125" s="1">
        <v>41183</v>
      </c>
      <c r="B125" s="31">
        <v>201744467</v>
      </c>
    </row>
    <row r="126" spans="1:2" x14ac:dyDescent="0.2">
      <c r="A126" s="1">
        <v>41275</v>
      </c>
      <c r="B126" s="31">
        <v>201877300</v>
      </c>
    </row>
    <row r="127" spans="1:2" x14ac:dyDescent="0.2">
      <c r="A127" s="1">
        <v>41365</v>
      </c>
      <c r="B127" s="31">
        <v>202242833</v>
      </c>
    </row>
    <row r="128" spans="1:2" x14ac:dyDescent="0.2">
      <c r="A128" s="1">
        <v>41456</v>
      </c>
      <c r="B128" s="31">
        <v>202472700</v>
      </c>
    </row>
    <row r="129" spans="1:2" x14ac:dyDescent="0.2">
      <c r="A129" s="1">
        <v>41548</v>
      </c>
      <c r="B129" s="31">
        <v>202722067</v>
      </c>
    </row>
    <row r="130" spans="1:2" x14ac:dyDescent="0.2">
      <c r="A130" s="1">
        <v>41640</v>
      </c>
      <c r="B130" s="31">
        <v>202641900</v>
      </c>
    </row>
    <row r="131" spans="1:2" x14ac:dyDescent="0.2">
      <c r="A131" s="1">
        <v>41730</v>
      </c>
      <c r="B131" s="31">
        <v>202920267</v>
      </c>
    </row>
    <row r="132" spans="1:2" x14ac:dyDescent="0.2">
      <c r="A132" s="1">
        <v>41821</v>
      </c>
      <c r="B132" s="31">
        <v>203136333</v>
      </c>
    </row>
    <row r="133" spans="1:2" x14ac:dyDescent="0.2">
      <c r="A133" s="1">
        <v>41913</v>
      </c>
      <c r="B133" s="31">
        <v>203358700</v>
      </c>
    </row>
    <row r="134" spans="1:2" x14ac:dyDescent="0.2">
      <c r="A134" s="1">
        <v>42005</v>
      </c>
      <c r="B134" s="31">
        <v>203923033</v>
      </c>
    </row>
    <row r="135" spans="1:2" x14ac:dyDescent="0.2">
      <c r="A135" s="1">
        <v>42095</v>
      </c>
      <c r="B135" s="31">
        <v>204194733</v>
      </c>
    </row>
    <row r="136" spans="1:2" x14ac:dyDescent="0.2">
      <c r="A136" s="1">
        <v>42186</v>
      </c>
      <c r="B136" s="31">
        <v>204556467</v>
      </c>
    </row>
    <row r="137" spans="1:2" x14ac:dyDescent="0.2">
      <c r="A137" s="1">
        <v>42278</v>
      </c>
      <c r="B137" s="31">
        <v>204726700</v>
      </c>
    </row>
    <row r="138" spans="1:2" x14ac:dyDescent="0.2">
      <c r="A138" s="1">
        <v>42370</v>
      </c>
      <c r="B138" s="31">
        <v>205122700</v>
      </c>
    </row>
    <row r="139" spans="1:2" x14ac:dyDescent="0.2">
      <c r="A139" s="1">
        <v>42461</v>
      </c>
      <c r="B139" s="31">
        <v>205396700</v>
      </c>
    </row>
    <row r="140" spans="1:2" x14ac:dyDescent="0.2">
      <c r="A140" s="1">
        <v>42552</v>
      </c>
      <c r="B140" s="31">
        <v>205703467</v>
      </c>
    </row>
    <row r="141" spans="1:2" x14ac:dyDescent="0.2">
      <c r="A141" s="1">
        <v>42644</v>
      </c>
      <c r="B141" s="31">
        <v>205881967</v>
      </c>
    </row>
    <row r="142" spans="1:2" x14ac:dyDescent="0.2">
      <c r="A142" s="1">
        <v>42736</v>
      </c>
      <c r="B142" s="31">
        <v>205367367</v>
      </c>
    </row>
    <row r="143" spans="1:2" x14ac:dyDescent="0.2">
      <c r="A143" s="1">
        <v>42826</v>
      </c>
      <c r="B143" s="31">
        <v>205478033</v>
      </c>
    </row>
    <row r="144" spans="1:2" x14ac:dyDescent="0.2">
      <c r="A144" s="1">
        <v>42917</v>
      </c>
      <c r="B144" s="31">
        <v>205726467</v>
      </c>
    </row>
    <row r="145" spans="1:2" x14ac:dyDescent="0.2">
      <c r="A145" s="1">
        <v>43009</v>
      </c>
      <c r="B145" s="31">
        <v>205793333</v>
      </c>
    </row>
    <row r="146" spans="1:2" x14ac:dyDescent="0.2">
      <c r="A146" s="1">
        <v>43101</v>
      </c>
      <c r="B146" s="31">
        <v>206280900</v>
      </c>
    </row>
    <row r="147" spans="1:2" x14ac:dyDescent="0.2">
      <c r="A147" s="1">
        <v>43191</v>
      </c>
      <c r="B147" s="31">
        <v>206394067</v>
      </c>
    </row>
    <row r="148" spans="1:2" x14ac:dyDescent="0.2">
      <c r="A148" s="1">
        <v>43282</v>
      </c>
      <c r="B148" s="31">
        <v>206677733</v>
      </c>
    </row>
    <row r="149" spans="1:2" x14ac:dyDescent="0.2">
      <c r="A149" s="1">
        <v>43374</v>
      </c>
      <c r="B149" s="31">
        <v>206702800</v>
      </c>
    </row>
    <row r="150" spans="1:2" x14ac:dyDescent="0.2">
      <c r="A150" s="1">
        <v>43466</v>
      </c>
      <c r="B150" s="31">
        <v>206233200</v>
      </c>
    </row>
    <row r="151" spans="1:2" x14ac:dyDescent="0.2">
      <c r="A151" s="1">
        <v>43556</v>
      </c>
      <c r="B151" s="31">
        <v>206368233</v>
      </c>
    </row>
    <row r="152" spans="1:2" x14ac:dyDescent="0.2">
      <c r="A152" s="1">
        <v>43647</v>
      </c>
      <c r="B152" s="31">
        <v>206364600</v>
      </c>
    </row>
    <row r="153" spans="1:2" x14ac:dyDescent="0.2">
      <c r="A153" s="1">
        <v>43739</v>
      </c>
      <c r="B153" s="31">
        <v>206257767</v>
      </c>
    </row>
    <row r="154" spans="1:2" x14ac:dyDescent="0.2">
      <c r="A154" s="1">
        <v>43831</v>
      </c>
      <c r="B154" s="31">
        <v>205542167</v>
      </c>
    </row>
    <row r="155" spans="1:2" x14ac:dyDescent="0.2">
      <c r="A155" s="1">
        <v>43922</v>
      </c>
      <c r="B155" s="31">
        <v>206412633</v>
      </c>
    </row>
    <row r="156" spans="1:2" x14ac:dyDescent="0.2">
      <c r="A156" s="1">
        <v>44013</v>
      </c>
      <c r="B156" s="31">
        <v>205712467</v>
      </c>
    </row>
    <row r="157" spans="1:2" x14ac:dyDescent="0.2">
      <c r="A157" s="1">
        <v>44105</v>
      </c>
      <c r="B157" s="31">
        <v>206140433</v>
      </c>
    </row>
    <row r="158" spans="1:2" x14ac:dyDescent="0.2">
      <c r="A158" s="1">
        <v>44197</v>
      </c>
      <c r="B158" s="31">
        <v>205110367</v>
      </c>
    </row>
    <row r="159" spans="1:2" x14ac:dyDescent="0.2">
      <c r="A159" s="1">
        <v>44287</v>
      </c>
      <c r="B159" s="31">
        <v>205489533</v>
      </c>
    </row>
    <row r="160" spans="1:2" x14ac:dyDescent="0.2">
      <c r="A160" s="1">
        <v>44378</v>
      </c>
      <c r="B160" s="31">
        <v>205365867</v>
      </c>
    </row>
    <row r="161" spans="1:2" x14ac:dyDescent="0.2">
      <c r="A161" s="1">
        <v>44470</v>
      </c>
      <c r="B161" s="31">
        <v>205392300</v>
      </c>
    </row>
    <row r="162" spans="1:2" x14ac:dyDescent="0.2">
      <c r="A162" s="1">
        <v>44562</v>
      </c>
      <c r="B162" s="31">
        <v>206922200</v>
      </c>
    </row>
    <row r="163" spans="1:2" x14ac:dyDescent="0.2">
      <c r="A163" s="1">
        <v>44652</v>
      </c>
      <c r="B163" s="31">
        <v>207127367</v>
      </c>
    </row>
    <row r="164" spans="1:2" x14ac:dyDescent="0.2">
      <c r="A164" s="1">
        <v>44743</v>
      </c>
      <c r="B164" s="31">
        <v>207479900</v>
      </c>
    </row>
    <row r="165" spans="1:2" x14ac:dyDescent="0.2">
      <c r="A165" s="1">
        <v>44835</v>
      </c>
      <c r="B165" s="31">
        <v>207625767</v>
      </c>
    </row>
    <row r="166" spans="1:2" x14ac:dyDescent="0.2">
      <c r="A166" s="1">
        <v>44927</v>
      </c>
      <c r="B166" s="31">
        <v>208208967</v>
      </c>
    </row>
    <row r="167" spans="1:2" x14ac:dyDescent="0.2">
      <c r="A167" s="1">
        <v>45017</v>
      </c>
      <c r="B167" s="31">
        <v>208454600</v>
      </c>
    </row>
    <row r="168" spans="1:2" x14ac:dyDescent="0.2">
      <c r="A168" s="1">
        <v>45108</v>
      </c>
      <c r="B168" s="31">
        <v>208886500</v>
      </c>
    </row>
    <row r="169" spans="1:2" x14ac:dyDescent="0.2">
      <c r="A169" s="1">
        <v>45200</v>
      </c>
      <c r="B169" s="31">
        <v>209149233</v>
      </c>
    </row>
    <row r="170" spans="1:2" x14ac:dyDescent="0.2">
      <c r="A170" s="1">
        <v>45292</v>
      </c>
      <c r="B170" s="31">
        <v>208450467</v>
      </c>
    </row>
    <row r="171" spans="1:2" x14ac:dyDescent="0.2">
      <c r="A171" s="1">
        <v>45383</v>
      </c>
      <c r="B171" s="31">
        <v>208686067</v>
      </c>
    </row>
    <row r="172" spans="1:2" x14ac:dyDescent="0.2">
      <c r="A172" s="1">
        <v>45474</v>
      </c>
      <c r="B172" s="31">
        <v>209093333</v>
      </c>
    </row>
    <row r="173" spans="1:2" x14ac:dyDescent="0.2">
      <c r="A173" s="1">
        <v>45566</v>
      </c>
      <c r="B173" s="31">
        <v>209521967</v>
      </c>
    </row>
    <row r="174" spans="1:2" x14ac:dyDescent="0.2">
      <c r="A174" s="1">
        <v>45658</v>
      </c>
      <c r="B174" s="31">
        <v>211430700</v>
      </c>
    </row>
    <row r="175" spans="1:2" x14ac:dyDescent="0.2">
      <c r="A175" s="1">
        <v>45748</v>
      </c>
      <c r="B175" s="31">
        <v>211760600</v>
      </c>
    </row>
    <row r="176" spans="1:2" x14ac:dyDescent="0.2">
      <c r="A176" s="1">
        <v>45839</v>
      </c>
      <c r="B176" s="31">
        <v>212201633</v>
      </c>
    </row>
    <row r="177" spans="1:2" x14ac:dyDescent="0.2">
      <c r="A177" s="1"/>
      <c r="B177" s="31"/>
    </row>
    <row r="178" spans="1:2" x14ac:dyDescent="0.2">
      <c r="A178" s="1"/>
      <c r="B178" s="31"/>
    </row>
    <row r="179" spans="1:2" x14ac:dyDescent="0.2">
      <c r="A179" s="10"/>
      <c r="B179" s="8"/>
    </row>
    <row r="180" spans="1:2" x14ac:dyDescent="0.2">
      <c r="A180" s="10"/>
      <c r="B180" s="8"/>
    </row>
    <row r="181" spans="1:2" x14ac:dyDescent="0.2">
      <c r="A181" s="10"/>
      <c r="B181" s="8"/>
    </row>
    <row r="182" spans="1:2" x14ac:dyDescent="0.2">
      <c r="A182" s="10"/>
      <c r="B182" s="8"/>
    </row>
    <row r="183" spans="1:2" x14ac:dyDescent="0.2">
      <c r="A183" s="10"/>
      <c r="B183" s="8"/>
    </row>
    <row r="184" spans="1:2" x14ac:dyDescent="0.2">
      <c r="A184" s="10"/>
      <c r="B184" s="8"/>
    </row>
    <row r="185" spans="1:2" x14ac:dyDescent="0.2">
      <c r="A185" s="10"/>
      <c r="B185" s="8"/>
    </row>
    <row r="186" spans="1:2" x14ac:dyDescent="0.2">
      <c r="A186" s="10"/>
      <c r="B186" s="8"/>
    </row>
    <row r="187" spans="1:2" x14ac:dyDescent="0.2">
      <c r="A187" s="10"/>
      <c r="B187" s="8"/>
    </row>
    <row r="188" spans="1:2" x14ac:dyDescent="0.2">
      <c r="A188" s="10"/>
      <c r="B188" s="8"/>
    </row>
    <row r="189" spans="1:2" x14ac:dyDescent="0.2">
      <c r="A189" s="10"/>
      <c r="B189" s="8"/>
    </row>
    <row r="190" spans="1:2" x14ac:dyDescent="0.2">
      <c r="A190" s="10"/>
      <c r="B190" s="8"/>
    </row>
    <row r="191" spans="1:2" x14ac:dyDescent="0.2">
      <c r="A191" s="10"/>
      <c r="B191" s="8"/>
    </row>
    <row r="192" spans="1:2" x14ac:dyDescent="0.2">
      <c r="A192" s="10"/>
      <c r="B192" s="8"/>
    </row>
    <row r="193" spans="1:2" x14ac:dyDescent="0.2">
      <c r="A193" s="10"/>
      <c r="B193" s="8"/>
    </row>
    <row r="194" spans="1:2" x14ac:dyDescent="0.2">
      <c r="A194" s="10"/>
      <c r="B194" s="8"/>
    </row>
    <row r="195" spans="1:2" x14ac:dyDescent="0.2">
      <c r="A195" s="10"/>
      <c r="B195" s="8"/>
    </row>
    <row r="196" spans="1:2" x14ac:dyDescent="0.2">
      <c r="A196" s="10"/>
      <c r="B196" s="8"/>
    </row>
    <row r="197" spans="1:2" x14ac:dyDescent="0.2">
      <c r="A197" s="10"/>
      <c r="B197" s="8"/>
    </row>
    <row r="198" spans="1:2" x14ac:dyDescent="0.2">
      <c r="A198" s="10"/>
      <c r="B198" s="8"/>
    </row>
    <row r="199" spans="1:2" x14ac:dyDescent="0.2">
      <c r="A199" s="10"/>
      <c r="B199" s="8"/>
    </row>
    <row r="200" spans="1:2" x14ac:dyDescent="0.2">
      <c r="A200" s="10"/>
      <c r="B200" s="8"/>
    </row>
    <row r="201" spans="1:2" x14ac:dyDescent="0.2">
      <c r="A201" s="10"/>
      <c r="B201" s="8"/>
    </row>
    <row r="202" spans="1:2" x14ac:dyDescent="0.2">
      <c r="A202" s="10"/>
      <c r="B202" s="8"/>
    </row>
    <row r="203" spans="1:2" x14ac:dyDescent="0.2">
      <c r="A203" s="10"/>
      <c r="B203" s="8"/>
    </row>
    <row r="204" spans="1:2" x14ac:dyDescent="0.2">
      <c r="A204" s="10"/>
      <c r="B204" s="8"/>
    </row>
    <row r="205" spans="1:2" x14ac:dyDescent="0.2">
      <c r="A205" s="10"/>
      <c r="B205" s="8"/>
    </row>
    <row r="206" spans="1:2" x14ac:dyDescent="0.2">
      <c r="A206" s="10"/>
      <c r="B206" s="8"/>
    </row>
    <row r="207" spans="1:2" x14ac:dyDescent="0.2">
      <c r="A207" s="10"/>
      <c r="B207" s="8"/>
    </row>
    <row r="208" spans="1:2" x14ac:dyDescent="0.2">
      <c r="A208" s="10"/>
      <c r="B208" s="8"/>
    </row>
    <row r="209" spans="1:2" x14ac:dyDescent="0.2">
      <c r="A209" s="10"/>
      <c r="B209" s="8"/>
    </row>
    <row r="210" spans="1:2" x14ac:dyDescent="0.2">
      <c r="A210" s="10"/>
      <c r="B210" s="8"/>
    </row>
    <row r="211" spans="1:2" x14ac:dyDescent="0.2">
      <c r="A211" s="10"/>
      <c r="B211" s="8"/>
    </row>
    <row r="212" spans="1:2" x14ac:dyDescent="0.2">
      <c r="A212" s="10"/>
      <c r="B212" s="8"/>
    </row>
    <row r="213" spans="1:2" x14ac:dyDescent="0.2">
      <c r="A213" s="10"/>
      <c r="B213" s="8"/>
    </row>
    <row r="214" spans="1:2" x14ac:dyDescent="0.2">
      <c r="A214" s="10"/>
      <c r="B214" s="8"/>
    </row>
    <row r="215" spans="1:2" x14ac:dyDescent="0.2">
      <c r="A215" s="10"/>
      <c r="B215" s="8"/>
    </row>
    <row r="216" spans="1:2" x14ac:dyDescent="0.2">
      <c r="A216" s="10"/>
      <c r="B216" s="8"/>
    </row>
    <row r="217" spans="1:2" x14ac:dyDescent="0.2">
      <c r="A217" s="10"/>
      <c r="B217" s="8"/>
    </row>
    <row r="218" spans="1:2" x14ac:dyDescent="0.2">
      <c r="A218" s="10"/>
      <c r="B218" s="8"/>
    </row>
    <row r="219" spans="1:2" x14ac:dyDescent="0.2">
      <c r="A219" s="10"/>
      <c r="B219" s="8"/>
    </row>
    <row r="220" spans="1:2" x14ac:dyDescent="0.2">
      <c r="A220" s="10"/>
      <c r="B220" s="8"/>
    </row>
    <row r="221" spans="1:2" x14ac:dyDescent="0.2">
      <c r="A221" s="10"/>
      <c r="B221" s="8"/>
    </row>
    <row r="222" spans="1:2" x14ac:dyDescent="0.2">
      <c r="A222" s="10"/>
      <c r="B222" s="8"/>
    </row>
    <row r="223" spans="1:2" x14ac:dyDescent="0.2">
      <c r="A223" s="10"/>
      <c r="B223" s="8"/>
    </row>
    <row r="224" spans="1:2" x14ac:dyDescent="0.2">
      <c r="A224" s="10"/>
      <c r="B224" s="8"/>
    </row>
    <row r="225" spans="1:2" x14ac:dyDescent="0.2">
      <c r="A225" s="10"/>
      <c r="B225" s="8"/>
    </row>
    <row r="226" spans="1:2" x14ac:dyDescent="0.2">
      <c r="A226" s="10"/>
      <c r="B226" s="8"/>
    </row>
    <row r="227" spans="1:2" x14ac:dyDescent="0.2">
      <c r="A227" s="10"/>
      <c r="B227" s="8"/>
    </row>
    <row r="228" spans="1:2" x14ac:dyDescent="0.2">
      <c r="A228" s="10"/>
      <c r="B228" s="8"/>
    </row>
    <row r="229" spans="1:2" x14ac:dyDescent="0.2">
      <c r="A229" s="10"/>
      <c r="B229" s="8"/>
    </row>
    <row r="230" spans="1:2" x14ac:dyDescent="0.2">
      <c r="A230" s="10"/>
      <c r="B230" s="8"/>
    </row>
    <row r="231" spans="1:2" x14ac:dyDescent="0.2">
      <c r="A231" s="10"/>
      <c r="B231" s="8"/>
    </row>
    <row r="232" spans="1:2" x14ac:dyDescent="0.2">
      <c r="A232" s="10"/>
      <c r="B232" s="8"/>
    </row>
    <row r="233" spans="1:2" x14ac:dyDescent="0.2">
      <c r="A233" s="10"/>
      <c r="B233" s="8"/>
    </row>
    <row r="234" spans="1:2" x14ac:dyDescent="0.2">
      <c r="A234" s="10"/>
      <c r="B234" s="8"/>
    </row>
    <row r="235" spans="1:2" x14ac:dyDescent="0.2">
      <c r="A235" s="10"/>
      <c r="B235" s="8"/>
    </row>
    <row r="236" spans="1:2" x14ac:dyDescent="0.2">
      <c r="A236" s="10"/>
      <c r="B236" s="8"/>
    </row>
    <row r="237" spans="1:2" x14ac:dyDescent="0.2">
      <c r="A237" s="10"/>
      <c r="B237" s="8"/>
    </row>
    <row r="238" spans="1:2" x14ac:dyDescent="0.2">
      <c r="A238" s="10"/>
      <c r="B238" s="8"/>
    </row>
    <row r="239" spans="1:2" x14ac:dyDescent="0.2">
      <c r="A239" s="10"/>
      <c r="B239" s="8"/>
    </row>
    <row r="240" spans="1:2" x14ac:dyDescent="0.2">
      <c r="A240" s="10"/>
      <c r="B240" s="8"/>
    </row>
    <row r="241" spans="1:2" x14ac:dyDescent="0.2">
      <c r="A241" s="10"/>
      <c r="B241" s="8"/>
    </row>
    <row r="242" spans="1:2" x14ac:dyDescent="0.2">
      <c r="A242" s="10"/>
      <c r="B242" s="8"/>
    </row>
    <row r="243" spans="1:2" x14ac:dyDescent="0.2">
      <c r="A243" s="10"/>
      <c r="B243" s="8"/>
    </row>
    <row r="244" spans="1:2" x14ac:dyDescent="0.2">
      <c r="A244" s="10"/>
      <c r="B244" s="8"/>
    </row>
    <row r="245" spans="1:2" x14ac:dyDescent="0.2">
      <c r="A245" s="10"/>
      <c r="B245" s="8"/>
    </row>
    <row r="246" spans="1:2" x14ac:dyDescent="0.2">
      <c r="A246" s="10"/>
      <c r="B246" s="8"/>
    </row>
    <row r="247" spans="1:2" x14ac:dyDescent="0.2">
      <c r="A247" s="10"/>
      <c r="B247" s="8"/>
    </row>
    <row r="248" spans="1:2" x14ac:dyDescent="0.2">
      <c r="A248" s="10"/>
      <c r="B248" s="8"/>
    </row>
    <row r="249" spans="1:2" x14ac:dyDescent="0.2">
      <c r="A249" s="10"/>
      <c r="B249" s="8"/>
    </row>
    <row r="250" spans="1:2" x14ac:dyDescent="0.2">
      <c r="A250" s="10"/>
      <c r="B250" s="8"/>
    </row>
    <row r="251" spans="1:2" x14ac:dyDescent="0.2">
      <c r="A251" s="10"/>
      <c r="B251" s="8"/>
    </row>
    <row r="252" spans="1:2" x14ac:dyDescent="0.2">
      <c r="A252" s="10"/>
      <c r="B252" s="8"/>
    </row>
    <row r="253" spans="1:2" x14ac:dyDescent="0.2">
      <c r="A253" s="10"/>
      <c r="B253" s="8"/>
    </row>
    <row r="254" spans="1:2" x14ac:dyDescent="0.2">
      <c r="A254" s="10"/>
      <c r="B254" s="8"/>
    </row>
    <row r="255" spans="1:2" x14ac:dyDescent="0.2">
      <c r="A255" s="10"/>
      <c r="B255" s="8"/>
    </row>
    <row r="256" spans="1:2" x14ac:dyDescent="0.2">
      <c r="A256" s="10"/>
      <c r="B256" s="8"/>
    </row>
    <row r="257" spans="1:2" x14ac:dyDescent="0.2">
      <c r="A257" s="10"/>
      <c r="B257" s="8"/>
    </row>
    <row r="258" spans="1:2" x14ac:dyDescent="0.2">
      <c r="A258" s="10"/>
      <c r="B258" s="8"/>
    </row>
    <row r="259" spans="1:2" x14ac:dyDescent="0.2">
      <c r="A259" s="10"/>
      <c r="B259" s="8"/>
    </row>
    <row r="260" spans="1:2" x14ac:dyDescent="0.2">
      <c r="A260" s="10"/>
      <c r="B260" s="8"/>
    </row>
    <row r="261" spans="1:2" x14ac:dyDescent="0.2">
      <c r="A261" s="10"/>
      <c r="B261" s="8"/>
    </row>
    <row r="262" spans="1:2" x14ac:dyDescent="0.2">
      <c r="A262" s="10"/>
      <c r="B262" s="8"/>
    </row>
    <row r="263" spans="1:2" x14ac:dyDescent="0.2">
      <c r="A263" s="10"/>
      <c r="B263" s="8"/>
    </row>
    <row r="264" spans="1:2" x14ac:dyDescent="0.2">
      <c r="A264" s="10"/>
      <c r="B264" s="8"/>
    </row>
    <row r="265" spans="1:2" x14ac:dyDescent="0.2">
      <c r="A265" s="10"/>
      <c r="B265" s="8"/>
    </row>
    <row r="266" spans="1:2" x14ac:dyDescent="0.2">
      <c r="A266" s="10"/>
      <c r="B266" s="8"/>
    </row>
    <row r="267" spans="1:2" x14ac:dyDescent="0.2">
      <c r="A267" s="10"/>
      <c r="B267" s="8"/>
    </row>
    <row r="268" spans="1:2" x14ac:dyDescent="0.2">
      <c r="A268" s="10"/>
      <c r="B268" s="8"/>
    </row>
    <row r="269" spans="1:2" x14ac:dyDescent="0.2">
      <c r="A269" s="10"/>
      <c r="B269" s="8"/>
    </row>
    <row r="270" spans="1:2" x14ac:dyDescent="0.2">
      <c r="A270" s="10"/>
      <c r="B270" s="8"/>
    </row>
    <row r="271" spans="1:2" x14ac:dyDescent="0.2">
      <c r="A271" s="10"/>
      <c r="B271" s="8"/>
    </row>
    <row r="272" spans="1:2" x14ac:dyDescent="0.2">
      <c r="A272" s="10"/>
      <c r="B272" s="8"/>
    </row>
    <row r="273" spans="1:2" x14ac:dyDescent="0.2">
      <c r="A273" s="10"/>
      <c r="B273" s="8"/>
    </row>
    <row r="274" spans="1:2" x14ac:dyDescent="0.2">
      <c r="A274" s="10"/>
      <c r="B274" s="8"/>
    </row>
    <row r="275" spans="1:2" x14ac:dyDescent="0.2">
      <c r="A275" s="10"/>
      <c r="B275" s="8"/>
    </row>
    <row r="276" spans="1:2" x14ac:dyDescent="0.2">
      <c r="A276" s="10"/>
      <c r="B276" s="8"/>
    </row>
    <row r="277" spans="1:2" x14ac:dyDescent="0.2">
      <c r="A277" s="10"/>
      <c r="B277" s="8"/>
    </row>
    <row r="278" spans="1:2" x14ac:dyDescent="0.2">
      <c r="A278" s="10"/>
      <c r="B278" s="8"/>
    </row>
    <row r="279" spans="1:2" x14ac:dyDescent="0.2">
      <c r="A279" s="10"/>
      <c r="B279" s="8"/>
    </row>
    <row r="280" spans="1:2" x14ac:dyDescent="0.2">
      <c r="A280" s="10"/>
      <c r="B280" s="8"/>
    </row>
    <row r="281" spans="1:2" x14ac:dyDescent="0.2">
      <c r="A281" s="10"/>
      <c r="B281" s="8"/>
    </row>
    <row r="282" spans="1:2" x14ac:dyDescent="0.2">
      <c r="A282" s="10"/>
      <c r="B282" s="8"/>
    </row>
    <row r="283" spans="1:2" x14ac:dyDescent="0.2">
      <c r="A283" s="10"/>
      <c r="B283" s="8"/>
    </row>
    <row r="284" spans="1:2" x14ac:dyDescent="0.2">
      <c r="A284" s="10"/>
      <c r="B284" s="8"/>
    </row>
    <row r="285" spans="1:2" x14ac:dyDescent="0.2">
      <c r="A285" s="10"/>
      <c r="B285" s="8"/>
    </row>
    <row r="286" spans="1:2" x14ac:dyDescent="0.2">
      <c r="A286" s="10"/>
      <c r="B286" s="8"/>
    </row>
    <row r="287" spans="1:2" x14ac:dyDescent="0.2">
      <c r="A287" s="10"/>
      <c r="B287" s="8"/>
    </row>
    <row r="288" spans="1:2" x14ac:dyDescent="0.2">
      <c r="A288" s="10"/>
      <c r="B288" s="8"/>
    </row>
    <row r="289" spans="1:2" x14ac:dyDescent="0.2">
      <c r="A289" s="10"/>
      <c r="B289" s="8"/>
    </row>
    <row r="290" spans="1:2" x14ac:dyDescent="0.2">
      <c r="A290" s="10"/>
      <c r="B290" s="8"/>
    </row>
    <row r="291" spans="1:2" x14ac:dyDescent="0.2">
      <c r="A291" s="10"/>
      <c r="B291" s="8"/>
    </row>
    <row r="292" spans="1:2" x14ac:dyDescent="0.2">
      <c r="A292" s="10"/>
      <c r="B292" s="8"/>
    </row>
    <row r="293" spans="1:2" x14ac:dyDescent="0.2">
      <c r="A293" s="10"/>
      <c r="B293" s="8"/>
    </row>
    <row r="294" spans="1:2" x14ac:dyDescent="0.2">
      <c r="A294" s="10"/>
      <c r="B294" s="8"/>
    </row>
    <row r="295" spans="1:2" x14ac:dyDescent="0.2">
      <c r="A295" s="10"/>
      <c r="B295" s="8"/>
    </row>
    <row r="296" spans="1:2" x14ac:dyDescent="0.2">
      <c r="A296" s="10"/>
      <c r="B296" s="8"/>
    </row>
    <row r="297" spans="1:2" x14ac:dyDescent="0.2">
      <c r="A297" s="10"/>
      <c r="B297" s="8"/>
    </row>
    <row r="298" spans="1:2" x14ac:dyDescent="0.2">
      <c r="A298" s="10"/>
      <c r="B298" s="8"/>
    </row>
    <row r="299" spans="1:2" x14ac:dyDescent="0.2">
      <c r="A299" s="10"/>
      <c r="B299" s="8"/>
    </row>
    <row r="300" spans="1:2" x14ac:dyDescent="0.2">
      <c r="A300" s="10"/>
      <c r="B300" s="8"/>
    </row>
    <row r="301" spans="1:2" x14ac:dyDescent="0.2">
      <c r="A301" s="10"/>
      <c r="B301" s="8"/>
    </row>
    <row r="302" spans="1:2" x14ac:dyDescent="0.2">
      <c r="A302" s="10"/>
      <c r="B302" s="8"/>
    </row>
    <row r="303" spans="1:2" x14ac:dyDescent="0.2">
      <c r="A303" s="10"/>
      <c r="B303" s="8"/>
    </row>
    <row r="304" spans="1:2" x14ac:dyDescent="0.2">
      <c r="A304" s="10"/>
      <c r="B304" s="8"/>
    </row>
    <row r="305" spans="1:2" x14ac:dyDescent="0.2">
      <c r="A305" s="10"/>
      <c r="B305" s="8"/>
    </row>
    <row r="306" spans="1:2" x14ac:dyDescent="0.2">
      <c r="A306" s="10"/>
      <c r="B306" s="8"/>
    </row>
    <row r="307" spans="1:2" x14ac:dyDescent="0.2">
      <c r="A307" s="10"/>
      <c r="B307" s="8"/>
    </row>
    <row r="308" spans="1:2" x14ac:dyDescent="0.2">
      <c r="A308" s="10"/>
      <c r="B308" s="8"/>
    </row>
    <row r="309" spans="1:2" x14ac:dyDescent="0.2">
      <c r="A309" s="10"/>
      <c r="B309" s="8"/>
    </row>
    <row r="310" spans="1:2" x14ac:dyDescent="0.2">
      <c r="A310" s="10"/>
      <c r="B310" s="8"/>
    </row>
    <row r="311" spans="1:2" x14ac:dyDescent="0.2">
      <c r="A311" s="10"/>
      <c r="B311" s="8"/>
    </row>
    <row r="312" spans="1:2" x14ac:dyDescent="0.2">
      <c r="A312" s="10"/>
      <c r="B312" s="8"/>
    </row>
    <row r="313" spans="1:2" x14ac:dyDescent="0.2">
      <c r="A313" s="10"/>
      <c r="B313" s="8"/>
    </row>
    <row r="314" spans="1:2" x14ac:dyDescent="0.2">
      <c r="A314" s="10"/>
      <c r="B314" s="8"/>
    </row>
    <row r="315" spans="1:2" x14ac:dyDescent="0.2">
      <c r="A315" s="10"/>
      <c r="B315" s="8"/>
    </row>
    <row r="316" spans="1:2" x14ac:dyDescent="0.2">
      <c r="A316" s="10"/>
      <c r="B316" s="8"/>
    </row>
    <row r="317" spans="1:2" x14ac:dyDescent="0.2">
      <c r="A317" s="10"/>
      <c r="B317" s="8"/>
    </row>
    <row r="318" spans="1:2" x14ac:dyDescent="0.2">
      <c r="A318" s="10"/>
      <c r="B318" s="8"/>
    </row>
    <row r="319" spans="1:2" x14ac:dyDescent="0.2">
      <c r="A319" s="10"/>
      <c r="B319" s="8"/>
    </row>
    <row r="320" spans="1:2" x14ac:dyDescent="0.2">
      <c r="A320" s="10"/>
      <c r="B320" s="8"/>
    </row>
    <row r="321" spans="1:2" x14ac:dyDescent="0.2">
      <c r="A321" s="10"/>
      <c r="B321" s="8"/>
    </row>
    <row r="322" spans="1:2" x14ac:dyDescent="0.2">
      <c r="A322" s="10"/>
      <c r="B322" s="8"/>
    </row>
    <row r="323" spans="1:2" x14ac:dyDescent="0.2">
      <c r="A323" s="10"/>
      <c r="B323" s="8"/>
    </row>
    <row r="324" spans="1:2" x14ac:dyDescent="0.2">
      <c r="A324" s="10"/>
      <c r="B324" s="8"/>
    </row>
    <row r="325" spans="1:2" x14ac:dyDescent="0.2">
      <c r="A325" s="10"/>
      <c r="B325" s="8"/>
    </row>
    <row r="326" spans="1:2" x14ac:dyDescent="0.2">
      <c r="A326" s="10"/>
      <c r="B326" s="8"/>
    </row>
    <row r="327" spans="1:2" x14ac:dyDescent="0.2">
      <c r="A327" s="10"/>
      <c r="B327" s="8"/>
    </row>
    <row r="328" spans="1:2" x14ac:dyDescent="0.2">
      <c r="A328" s="10"/>
      <c r="B328" s="8"/>
    </row>
    <row r="329" spans="1:2" x14ac:dyDescent="0.2">
      <c r="A329" s="10"/>
      <c r="B329" s="8"/>
    </row>
    <row r="330" spans="1:2" x14ac:dyDescent="0.2">
      <c r="A330" s="10"/>
      <c r="B330" s="8"/>
    </row>
    <row r="331" spans="1:2" x14ac:dyDescent="0.2">
      <c r="A331" s="10"/>
      <c r="B331" s="8"/>
    </row>
    <row r="332" spans="1:2" x14ac:dyDescent="0.2">
      <c r="A332" s="10"/>
      <c r="B332" s="8"/>
    </row>
    <row r="333" spans="1:2" x14ac:dyDescent="0.2">
      <c r="A333" s="10"/>
      <c r="B333" s="8"/>
    </row>
    <row r="334" spans="1:2" x14ac:dyDescent="0.2">
      <c r="A334" s="10"/>
      <c r="B334" s="8"/>
    </row>
    <row r="335" spans="1:2" x14ac:dyDescent="0.2">
      <c r="A335" s="10"/>
      <c r="B335" s="8"/>
    </row>
    <row r="336" spans="1:2" x14ac:dyDescent="0.2">
      <c r="A336" s="10"/>
      <c r="B336" s="8"/>
    </row>
    <row r="337" spans="1:2" x14ac:dyDescent="0.2">
      <c r="A337" s="10"/>
      <c r="B337" s="8"/>
    </row>
    <row r="338" spans="1:2" x14ac:dyDescent="0.2">
      <c r="A338" s="10"/>
      <c r="B338" s="8"/>
    </row>
    <row r="339" spans="1:2" x14ac:dyDescent="0.2">
      <c r="A339" s="10"/>
      <c r="B339" s="8"/>
    </row>
    <row r="340" spans="1:2" x14ac:dyDescent="0.2">
      <c r="A340" s="10"/>
      <c r="B340" s="8"/>
    </row>
    <row r="341" spans="1:2" x14ac:dyDescent="0.2">
      <c r="A341" s="10"/>
      <c r="B341" s="8"/>
    </row>
    <row r="342" spans="1:2" x14ac:dyDescent="0.2">
      <c r="A342" s="10"/>
      <c r="B342" s="8"/>
    </row>
    <row r="343" spans="1:2" x14ac:dyDescent="0.2">
      <c r="A343" s="10"/>
      <c r="B343" s="8"/>
    </row>
    <row r="344" spans="1:2" x14ac:dyDescent="0.2">
      <c r="A344" s="10"/>
      <c r="B344" s="8"/>
    </row>
    <row r="345" spans="1:2" x14ac:dyDescent="0.2">
      <c r="A345" s="10"/>
      <c r="B345" s="8"/>
    </row>
    <row r="346" spans="1:2" x14ac:dyDescent="0.2">
      <c r="A346" s="10"/>
      <c r="B346" s="8"/>
    </row>
    <row r="347" spans="1:2" x14ac:dyDescent="0.2">
      <c r="A347" s="10"/>
      <c r="B347" s="8"/>
    </row>
    <row r="348" spans="1:2" x14ac:dyDescent="0.2">
      <c r="A348" s="10"/>
      <c r="B348" s="8"/>
    </row>
    <row r="349" spans="1:2" x14ac:dyDescent="0.2">
      <c r="A349" s="10"/>
      <c r="B349" s="8"/>
    </row>
    <row r="350" spans="1:2" x14ac:dyDescent="0.2">
      <c r="A350" s="10"/>
      <c r="B350" s="8"/>
    </row>
    <row r="351" spans="1:2" x14ac:dyDescent="0.2">
      <c r="A351" s="10"/>
      <c r="B351" s="8"/>
    </row>
    <row r="352" spans="1:2" x14ac:dyDescent="0.2">
      <c r="A352" s="10"/>
      <c r="B352" s="8"/>
    </row>
    <row r="353" spans="1:2" x14ac:dyDescent="0.2">
      <c r="A353" s="10"/>
      <c r="B353" s="8"/>
    </row>
    <row r="354" spans="1:2" x14ac:dyDescent="0.2">
      <c r="A354" s="10"/>
      <c r="B354" s="8"/>
    </row>
    <row r="355" spans="1:2" x14ac:dyDescent="0.2">
      <c r="A355" s="10"/>
      <c r="B355" s="8"/>
    </row>
    <row r="356" spans="1:2" x14ac:dyDescent="0.2">
      <c r="A356" s="10"/>
      <c r="B356" s="8"/>
    </row>
    <row r="357" spans="1:2" x14ac:dyDescent="0.2">
      <c r="A357" s="10"/>
      <c r="B357" s="8"/>
    </row>
    <row r="358" spans="1:2" x14ac:dyDescent="0.2">
      <c r="A358" s="10"/>
      <c r="B358" s="8"/>
    </row>
    <row r="359" spans="1:2" x14ac:dyDescent="0.2">
      <c r="A359" s="10"/>
      <c r="B359" s="8"/>
    </row>
    <row r="360" spans="1:2" x14ac:dyDescent="0.2">
      <c r="A360" s="10"/>
      <c r="B360" s="8"/>
    </row>
    <row r="361" spans="1:2" x14ac:dyDescent="0.2">
      <c r="A361" s="10"/>
      <c r="B361" s="8"/>
    </row>
    <row r="362" spans="1:2" x14ac:dyDescent="0.2">
      <c r="A362" s="10"/>
      <c r="B362" s="8"/>
    </row>
    <row r="363" spans="1:2" x14ac:dyDescent="0.2">
      <c r="A363" s="10"/>
      <c r="B363" s="8"/>
    </row>
    <row r="364" spans="1:2" x14ac:dyDescent="0.2">
      <c r="A364" s="10"/>
      <c r="B364" s="8"/>
    </row>
    <row r="365" spans="1:2" x14ac:dyDescent="0.2">
      <c r="A365" s="10"/>
      <c r="B365" s="8"/>
    </row>
    <row r="366" spans="1:2" x14ac:dyDescent="0.2">
      <c r="A366" s="10"/>
      <c r="B366" s="8"/>
    </row>
    <row r="367" spans="1:2" x14ac:dyDescent="0.2">
      <c r="A367" s="10"/>
      <c r="B367" s="8"/>
    </row>
    <row r="368" spans="1:2" x14ac:dyDescent="0.2">
      <c r="A368" s="10"/>
      <c r="B368" s="8"/>
    </row>
    <row r="369" spans="1:2" x14ac:dyDescent="0.2">
      <c r="A369" s="10"/>
      <c r="B369" s="8"/>
    </row>
    <row r="370" spans="1:2" x14ac:dyDescent="0.2">
      <c r="A370" s="10"/>
      <c r="B370" s="8"/>
    </row>
    <row r="371" spans="1:2" x14ac:dyDescent="0.2">
      <c r="A371" s="10"/>
      <c r="B371" s="8"/>
    </row>
    <row r="372" spans="1:2" x14ac:dyDescent="0.2">
      <c r="A372" s="10"/>
      <c r="B372" s="8"/>
    </row>
    <row r="373" spans="1:2" x14ac:dyDescent="0.2">
      <c r="A373" s="10"/>
      <c r="B373" s="8"/>
    </row>
    <row r="374" spans="1:2" x14ac:dyDescent="0.2">
      <c r="A374" s="10"/>
      <c r="B374" s="8"/>
    </row>
    <row r="375" spans="1:2" x14ac:dyDescent="0.2">
      <c r="A375" s="10"/>
      <c r="B375" s="8"/>
    </row>
    <row r="376" spans="1:2" x14ac:dyDescent="0.2">
      <c r="A376" s="10"/>
      <c r="B376" s="8"/>
    </row>
    <row r="377" spans="1:2" x14ac:dyDescent="0.2">
      <c r="A377" s="10"/>
      <c r="B377" s="8"/>
    </row>
    <row r="378" spans="1:2" x14ac:dyDescent="0.2">
      <c r="A378" s="10"/>
      <c r="B378" s="8"/>
    </row>
    <row r="379" spans="1:2" x14ac:dyDescent="0.2">
      <c r="A379" s="10"/>
      <c r="B379" s="8"/>
    </row>
    <row r="380" spans="1:2" x14ac:dyDescent="0.2">
      <c r="A380" s="10"/>
      <c r="B380" s="8"/>
    </row>
    <row r="381" spans="1:2" x14ac:dyDescent="0.2">
      <c r="A381" s="10"/>
      <c r="B381" s="8"/>
    </row>
    <row r="382" spans="1:2" x14ac:dyDescent="0.2">
      <c r="A382" s="10"/>
      <c r="B382" s="8"/>
    </row>
    <row r="383" spans="1:2" x14ac:dyDescent="0.2">
      <c r="A383" s="10"/>
      <c r="B383" s="8"/>
    </row>
    <row r="384" spans="1:2" x14ac:dyDescent="0.2">
      <c r="A384" s="10"/>
      <c r="B384" s="8"/>
    </row>
    <row r="385" spans="1:2" x14ac:dyDescent="0.2">
      <c r="A385" s="10"/>
      <c r="B385" s="8"/>
    </row>
    <row r="386" spans="1:2" x14ac:dyDescent="0.2">
      <c r="A386" s="10"/>
      <c r="B386" s="8"/>
    </row>
    <row r="387" spans="1:2" x14ac:dyDescent="0.2">
      <c r="A387" s="10"/>
      <c r="B387" s="8"/>
    </row>
    <row r="388" spans="1:2" x14ac:dyDescent="0.2">
      <c r="A388" s="10"/>
      <c r="B388" s="8"/>
    </row>
    <row r="389" spans="1:2" x14ac:dyDescent="0.2">
      <c r="A389" s="10"/>
      <c r="B389" s="8"/>
    </row>
    <row r="390" spans="1:2" x14ac:dyDescent="0.2">
      <c r="A390" s="10"/>
      <c r="B390" s="8"/>
    </row>
    <row r="391" spans="1:2" x14ac:dyDescent="0.2">
      <c r="A391" s="10"/>
      <c r="B391" s="8"/>
    </row>
    <row r="392" spans="1:2" x14ac:dyDescent="0.2">
      <c r="A392" s="10"/>
      <c r="B392" s="8"/>
    </row>
    <row r="393" spans="1:2" x14ac:dyDescent="0.2">
      <c r="A393" s="10"/>
      <c r="B393" s="8"/>
    </row>
    <row r="394" spans="1:2" x14ac:dyDescent="0.2">
      <c r="A394" s="10"/>
      <c r="B394" s="8"/>
    </row>
    <row r="395" spans="1:2" x14ac:dyDescent="0.2">
      <c r="A395" s="10"/>
      <c r="B395" s="8"/>
    </row>
    <row r="396" spans="1:2" x14ac:dyDescent="0.2">
      <c r="A396" s="10"/>
      <c r="B396" s="8"/>
    </row>
    <row r="397" spans="1:2" x14ac:dyDescent="0.2">
      <c r="A397" s="10"/>
      <c r="B397" s="8"/>
    </row>
    <row r="398" spans="1:2" x14ac:dyDescent="0.2">
      <c r="A398" s="10"/>
      <c r="B398" s="8"/>
    </row>
    <row r="399" spans="1:2" x14ac:dyDescent="0.2">
      <c r="A399" s="10"/>
      <c r="B399" s="8"/>
    </row>
    <row r="400" spans="1:2" x14ac:dyDescent="0.2">
      <c r="A400" s="10"/>
      <c r="B400" s="8"/>
    </row>
    <row r="401" spans="1:2" x14ac:dyDescent="0.2">
      <c r="A401" s="10"/>
      <c r="B401" s="8"/>
    </row>
    <row r="402" spans="1:2" x14ac:dyDescent="0.2">
      <c r="A402" s="10"/>
      <c r="B402" s="8"/>
    </row>
    <row r="403" spans="1:2" x14ac:dyDescent="0.2">
      <c r="A403" s="10"/>
      <c r="B403" s="8"/>
    </row>
    <row r="404" spans="1:2" x14ac:dyDescent="0.2">
      <c r="A404" s="10"/>
      <c r="B404" s="8"/>
    </row>
    <row r="405" spans="1:2" x14ac:dyDescent="0.2">
      <c r="A405" s="10"/>
      <c r="B405" s="8"/>
    </row>
    <row r="406" spans="1:2" x14ac:dyDescent="0.2">
      <c r="A406" s="10"/>
      <c r="B406" s="8"/>
    </row>
    <row r="407" spans="1:2" x14ac:dyDescent="0.2">
      <c r="A407" s="10"/>
      <c r="B407" s="8"/>
    </row>
    <row r="408" spans="1:2" x14ac:dyDescent="0.2">
      <c r="A408" s="10"/>
      <c r="B408" s="8"/>
    </row>
    <row r="409" spans="1:2" x14ac:dyDescent="0.2">
      <c r="A409" s="10"/>
      <c r="B409" s="8"/>
    </row>
    <row r="410" spans="1:2" x14ac:dyDescent="0.2">
      <c r="A410" s="10"/>
      <c r="B410" s="8"/>
    </row>
    <row r="411" spans="1:2" x14ac:dyDescent="0.2">
      <c r="A411" s="10"/>
      <c r="B411" s="8"/>
    </row>
    <row r="412" spans="1:2" x14ac:dyDescent="0.2">
      <c r="A412" s="10"/>
      <c r="B412" s="8"/>
    </row>
    <row r="413" spans="1:2" x14ac:dyDescent="0.2">
      <c r="A413" s="10"/>
      <c r="B413" s="8"/>
    </row>
    <row r="414" spans="1:2" x14ac:dyDescent="0.2">
      <c r="A414" s="10"/>
      <c r="B414" s="8"/>
    </row>
    <row r="415" spans="1:2" x14ac:dyDescent="0.2">
      <c r="A415" s="10"/>
      <c r="B415" s="8"/>
    </row>
    <row r="416" spans="1:2" x14ac:dyDescent="0.2">
      <c r="A416" s="10"/>
      <c r="B416" s="8"/>
    </row>
    <row r="417" spans="1:2" x14ac:dyDescent="0.2">
      <c r="A417" s="10"/>
      <c r="B417" s="8"/>
    </row>
    <row r="418" spans="1:2" x14ac:dyDescent="0.2">
      <c r="A418" s="10"/>
      <c r="B418" s="8"/>
    </row>
    <row r="419" spans="1:2" x14ac:dyDescent="0.2">
      <c r="A419" s="10"/>
      <c r="B419" s="8"/>
    </row>
    <row r="420" spans="1:2" x14ac:dyDescent="0.2">
      <c r="A420" s="10"/>
      <c r="B420" s="8"/>
    </row>
    <row r="421" spans="1:2" x14ac:dyDescent="0.2">
      <c r="A421" s="10"/>
      <c r="B421" s="8"/>
    </row>
    <row r="422" spans="1:2" x14ac:dyDescent="0.2">
      <c r="A422" s="10"/>
      <c r="B422" s="8"/>
    </row>
    <row r="423" spans="1:2" x14ac:dyDescent="0.2">
      <c r="A423" s="10"/>
      <c r="B423" s="8"/>
    </row>
    <row r="424" spans="1:2" x14ac:dyDescent="0.2">
      <c r="A424" s="10"/>
      <c r="B424" s="8"/>
    </row>
    <row r="425" spans="1:2" x14ac:dyDescent="0.2">
      <c r="A425" s="10"/>
      <c r="B425" s="8"/>
    </row>
    <row r="426" spans="1:2" x14ac:dyDescent="0.2">
      <c r="A426" s="10"/>
      <c r="B426" s="8"/>
    </row>
    <row r="427" spans="1:2" x14ac:dyDescent="0.2">
      <c r="A427" s="10"/>
      <c r="B427" s="8"/>
    </row>
    <row r="428" spans="1:2" x14ac:dyDescent="0.2">
      <c r="A428" s="10"/>
      <c r="B428" s="8"/>
    </row>
    <row r="429" spans="1:2" x14ac:dyDescent="0.2">
      <c r="A429" s="10"/>
      <c r="B429" s="8"/>
    </row>
    <row r="430" spans="1:2" x14ac:dyDescent="0.2">
      <c r="A430" s="10"/>
      <c r="B430" s="8"/>
    </row>
    <row r="431" spans="1:2" x14ac:dyDescent="0.2">
      <c r="A431" s="10"/>
      <c r="B431" s="8"/>
    </row>
    <row r="432" spans="1:2" x14ac:dyDescent="0.2">
      <c r="A432" s="10"/>
      <c r="B432" s="8"/>
    </row>
    <row r="433" spans="1:2" x14ac:dyDescent="0.2">
      <c r="A433" s="10"/>
      <c r="B433" s="8"/>
    </row>
    <row r="434" spans="1:2" x14ac:dyDescent="0.2">
      <c r="A434" s="10"/>
      <c r="B434" s="8"/>
    </row>
    <row r="435" spans="1:2" x14ac:dyDescent="0.2">
      <c r="A435" s="10"/>
      <c r="B435" s="8"/>
    </row>
    <row r="436" spans="1:2" x14ac:dyDescent="0.2">
      <c r="A436" s="10"/>
      <c r="B436" s="8"/>
    </row>
    <row r="437" spans="1:2" x14ac:dyDescent="0.2">
      <c r="A437" s="10"/>
      <c r="B437" s="8"/>
    </row>
    <row r="438" spans="1:2" x14ac:dyDescent="0.2">
      <c r="A438" s="10"/>
      <c r="B438" s="8"/>
    </row>
    <row r="439" spans="1:2" x14ac:dyDescent="0.2">
      <c r="A439" s="10"/>
      <c r="B439" s="8"/>
    </row>
    <row r="440" spans="1:2" x14ac:dyDescent="0.2">
      <c r="A440" s="10"/>
      <c r="B440" s="8"/>
    </row>
    <row r="441" spans="1:2" x14ac:dyDescent="0.2">
      <c r="A441" s="10"/>
      <c r="B441" s="8"/>
    </row>
    <row r="442" spans="1:2" x14ac:dyDescent="0.2">
      <c r="A442" s="10"/>
      <c r="B442" s="8"/>
    </row>
    <row r="443" spans="1:2" x14ac:dyDescent="0.2">
      <c r="A443" s="10"/>
      <c r="B443" s="8"/>
    </row>
    <row r="444" spans="1:2" x14ac:dyDescent="0.2">
      <c r="A444" s="10"/>
      <c r="B444" s="8"/>
    </row>
    <row r="445" spans="1:2" x14ac:dyDescent="0.2">
      <c r="A445" s="10"/>
      <c r="B445" s="8"/>
    </row>
    <row r="446" spans="1:2" x14ac:dyDescent="0.2">
      <c r="A446" s="10"/>
      <c r="B446" s="8"/>
    </row>
    <row r="447" spans="1:2" x14ac:dyDescent="0.2">
      <c r="A447" s="10"/>
      <c r="B447" s="8"/>
    </row>
    <row r="448" spans="1:2" x14ac:dyDescent="0.2">
      <c r="A448" s="10"/>
      <c r="B448" s="8"/>
    </row>
    <row r="449" spans="1:2" x14ac:dyDescent="0.2">
      <c r="A449" s="10"/>
      <c r="B449" s="8"/>
    </row>
    <row r="450" spans="1:2" x14ac:dyDescent="0.2">
      <c r="A450" s="10"/>
      <c r="B450" s="8"/>
    </row>
    <row r="451" spans="1:2" x14ac:dyDescent="0.2">
      <c r="A451" s="10"/>
      <c r="B451" s="8"/>
    </row>
    <row r="452" spans="1:2" x14ac:dyDescent="0.2">
      <c r="A452" s="10"/>
      <c r="B452" s="8"/>
    </row>
    <row r="453" spans="1:2" x14ac:dyDescent="0.2">
      <c r="A453" s="10"/>
      <c r="B453" s="8"/>
    </row>
    <row r="454" spans="1:2" x14ac:dyDescent="0.2">
      <c r="A454" s="10"/>
      <c r="B454" s="8"/>
    </row>
    <row r="455" spans="1:2" x14ac:dyDescent="0.2">
      <c r="A455" s="10"/>
      <c r="B455" s="8"/>
    </row>
    <row r="456" spans="1:2" x14ac:dyDescent="0.2">
      <c r="A456" s="10"/>
      <c r="B456" s="8"/>
    </row>
    <row r="457" spans="1:2" x14ac:dyDescent="0.2">
      <c r="A457" s="10"/>
      <c r="B457" s="8"/>
    </row>
    <row r="458" spans="1:2" x14ac:dyDescent="0.2">
      <c r="A458" s="10"/>
      <c r="B458" s="8"/>
    </row>
    <row r="459" spans="1:2" x14ac:dyDescent="0.2">
      <c r="A459" s="10"/>
      <c r="B459" s="8"/>
    </row>
    <row r="460" spans="1:2" x14ac:dyDescent="0.2">
      <c r="A460" s="10"/>
      <c r="B460" s="8"/>
    </row>
    <row r="461" spans="1:2" x14ac:dyDescent="0.2">
      <c r="A461" s="10"/>
      <c r="B461" s="8"/>
    </row>
    <row r="462" spans="1:2" x14ac:dyDescent="0.2">
      <c r="A462" s="10"/>
      <c r="B462" s="8"/>
    </row>
    <row r="463" spans="1:2" x14ac:dyDescent="0.2">
      <c r="A463" s="10"/>
      <c r="B463" s="8"/>
    </row>
    <row r="464" spans="1:2" x14ac:dyDescent="0.2">
      <c r="A464" s="10"/>
      <c r="B464" s="8"/>
    </row>
    <row r="465" spans="1:2" x14ac:dyDescent="0.2">
      <c r="A465" s="10"/>
      <c r="B465" s="8"/>
    </row>
    <row r="466" spans="1:2" x14ac:dyDescent="0.2">
      <c r="A466" s="10"/>
      <c r="B466" s="8"/>
    </row>
    <row r="467" spans="1:2" x14ac:dyDescent="0.2">
      <c r="A467" s="10"/>
      <c r="B467" s="8"/>
    </row>
    <row r="468" spans="1:2" x14ac:dyDescent="0.2">
      <c r="A468" s="10"/>
      <c r="B468" s="8"/>
    </row>
    <row r="469" spans="1:2" x14ac:dyDescent="0.2">
      <c r="A469" s="10"/>
      <c r="B469" s="8"/>
    </row>
    <row r="470" spans="1:2" x14ac:dyDescent="0.2">
      <c r="A470" s="10"/>
      <c r="B470" s="8"/>
    </row>
    <row r="471" spans="1:2" x14ac:dyDescent="0.2">
      <c r="A471" s="10"/>
      <c r="B471" s="8"/>
    </row>
    <row r="472" spans="1:2" x14ac:dyDescent="0.2">
      <c r="A472" s="10"/>
      <c r="B472" s="8"/>
    </row>
    <row r="473" spans="1:2" x14ac:dyDescent="0.2">
      <c r="A473" s="10"/>
      <c r="B473" s="8"/>
    </row>
    <row r="474" spans="1:2" x14ac:dyDescent="0.2">
      <c r="A474" s="10"/>
      <c r="B474" s="8"/>
    </row>
    <row r="475" spans="1:2" x14ac:dyDescent="0.2">
      <c r="A475" s="10"/>
      <c r="B475" s="8"/>
    </row>
    <row r="476" spans="1:2" x14ac:dyDescent="0.2">
      <c r="A476" s="10"/>
      <c r="B476" s="8"/>
    </row>
    <row r="477" spans="1:2" x14ac:dyDescent="0.2">
      <c r="A477" s="10"/>
      <c r="B477" s="8"/>
    </row>
    <row r="478" spans="1:2" x14ac:dyDescent="0.2">
      <c r="A478" s="10"/>
      <c r="B478" s="8"/>
    </row>
    <row r="479" spans="1:2" x14ac:dyDescent="0.2">
      <c r="A479" s="10"/>
      <c r="B479" s="8"/>
    </row>
    <row r="480" spans="1:2" x14ac:dyDescent="0.2">
      <c r="A480" s="10"/>
      <c r="B480" s="8"/>
    </row>
    <row r="481" spans="1:2" x14ac:dyDescent="0.2">
      <c r="A481" s="10"/>
      <c r="B481" s="8"/>
    </row>
    <row r="482" spans="1:2" x14ac:dyDescent="0.2">
      <c r="A482" s="10"/>
      <c r="B482" s="8"/>
    </row>
    <row r="483" spans="1:2" x14ac:dyDescent="0.2">
      <c r="A483" s="10"/>
      <c r="B483" s="8"/>
    </row>
    <row r="484" spans="1:2" x14ac:dyDescent="0.2">
      <c r="A484" s="10"/>
      <c r="B484" s="8"/>
    </row>
    <row r="485" spans="1:2" x14ac:dyDescent="0.2">
      <c r="A485" s="10"/>
      <c r="B485" s="8"/>
    </row>
    <row r="486" spans="1:2" x14ac:dyDescent="0.2">
      <c r="A486" s="10"/>
      <c r="B486" s="8"/>
    </row>
    <row r="487" spans="1:2" x14ac:dyDescent="0.2">
      <c r="A487" s="10"/>
      <c r="B487" s="8"/>
    </row>
    <row r="488" spans="1:2" x14ac:dyDescent="0.2">
      <c r="A488" s="10"/>
      <c r="B488" s="8"/>
    </row>
    <row r="489" spans="1:2" x14ac:dyDescent="0.2">
      <c r="A489" s="10"/>
      <c r="B489" s="8"/>
    </row>
    <row r="490" spans="1:2" x14ac:dyDescent="0.2">
      <c r="A490" s="10"/>
      <c r="B490" s="8"/>
    </row>
    <row r="491" spans="1:2" x14ac:dyDescent="0.2">
      <c r="A491" s="10"/>
      <c r="B491" s="8"/>
    </row>
    <row r="492" spans="1:2" x14ac:dyDescent="0.2">
      <c r="A492" s="10"/>
      <c r="B492" s="8"/>
    </row>
    <row r="493" spans="1:2" x14ac:dyDescent="0.2">
      <c r="A493" s="10"/>
      <c r="B493" s="8"/>
    </row>
    <row r="494" spans="1:2" x14ac:dyDescent="0.2">
      <c r="A494" s="10"/>
      <c r="B494" s="8"/>
    </row>
    <row r="495" spans="1:2" x14ac:dyDescent="0.2">
      <c r="A495" s="10"/>
      <c r="B495" s="8"/>
    </row>
    <row r="496" spans="1:2" x14ac:dyDescent="0.2">
      <c r="A496" s="10"/>
      <c r="B496" s="8"/>
    </row>
    <row r="497" spans="1:2" x14ac:dyDescent="0.2">
      <c r="A497" s="10"/>
      <c r="B497" s="8"/>
    </row>
    <row r="498" spans="1:2" x14ac:dyDescent="0.2">
      <c r="A498" s="10"/>
      <c r="B498" s="8"/>
    </row>
    <row r="499" spans="1:2" x14ac:dyDescent="0.2">
      <c r="A499" s="10"/>
      <c r="B499" s="8"/>
    </row>
    <row r="500" spans="1:2" x14ac:dyDescent="0.2">
      <c r="A500" s="10"/>
      <c r="B500" s="8"/>
    </row>
    <row r="501" spans="1:2" x14ac:dyDescent="0.2">
      <c r="A501" s="10"/>
      <c r="B501" s="8"/>
    </row>
    <row r="502" spans="1:2" x14ac:dyDescent="0.2">
      <c r="A502" s="10"/>
      <c r="B502" s="8"/>
    </row>
    <row r="503" spans="1:2" x14ac:dyDescent="0.2">
      <c r="A503" s="10"/>
      <c r="B503" s="8"/>
    </row>
    <row r="504" spans="1:2" x14ac:dyDescent="0.2">
      <c r="A504" s="10"/>
      <c r="B504" s="8"/>
    </row>
    <row r="505" spans="1:2" x14ac:dyDescent="0.2">
      <c r="A505" s="10"/>
      <c r="B505" s="8"/>
    </row>
    <row r="506" spans="1:2" x14ac:dyDescent="0.2">
      <c r="A506" s="10"/>
      <c r="B506" s="8"/>
    </row>
    <row r="507" spans="1:2" x14ac:dyDescent="0.2">
      <c r="A507" s="10"/>
      <c r="B507" s="8"/>
    </row>
    <row r="508" spans="1:2" x14ac:dyDescent="0.2">
      <c r="A508" s="10"/>
      <c r="B508" s="8"/>
    </row>
    <row r="509" spans="1:2" x14ac:dyDescent="0.2">
      <c r="A509" s="10"/>
      <c r="B509" s="8"/>
    </row>
    <row r="510" spans="1:2" x14ac:dyDescent="0.2">
      <c r="A510" s="10"/>
      <c r="B510" s="8"/>
    </row>
    <row r="511" spans="1:2" x14ac:dyDescent="0.2">
      <c r="A511" s="10"/>
      <c r="B511" s="8"/>
    </row>
    <row r="512" spans="1:2" x14ac:dyDescent="0.2">
      <c r="A512" s="10"/>
      <c r="B512" s="8"/>
    </row>
    <row r="513" spans="1:2" x14ac:dyDescent="0.2">
      <c r="A513" s="10"/>
      <c r="B513" s="8"/>
    </row>
    <row r="514" spans="1:2" x14ac:dyDescent="0.2">
      <c r="A514" s="10"/>
      <c r="B514" s="8"/>
    </row>
    <row r="515" spans="1:2" x14ac:dyDescent="0.2">
      <c r="A515" s="10"/>
      <c r="B515" s="8"/>
    </row>
    <row r="516" spans="1:2" x14ac:dyDescent="0.2">
      <c r="A516" s="10"/>
      <c r="B516" s="8"/>
    </row>
    <row r="517" spans="1:2" x14ac:dyDescent="0.2">
      <c r="A517" s="10"/>
      <c r="B517" s="8"/>
    </row>
    <row r="518" spans="1:2" x14ac:dyDescent="0.2">
      <c r="A518" s="10"/>
      <c r="B518" s="8"/>
    </row>
    <row r="519" spans="1:2" x14ac:dyDescent="0.2">
      <c r="A519" s="10"/>
      <c r="B519" s="8"/>
    </row>
    <row r="520" spans="1:2" x14ac:dyDescent="0.2">
      <c r="A520" s="10"/>
      <c r="B520" s="8"/>
    </row>
    <row r="521" spans="1:2" x14ac:dyDescent="0.2">
      <c r="A521" s="10"/>
      <c r="B521" s="8"/>
    </row>
    <row r="522" spans="1:2" x14ac:dyDescent="0.2">
      <c r="A522" s="10"/>
      <c r="B522" s="8"/>
    </row>
    <row r="523" spans="1:2" x14ac:dyDescent="0.2">
      <c r="A523" s="10"/>
      <c r="B523" s="8"/>
    </row>
    <row r="524" spans="1:2" x14ac:dyDescent="0.2">
      <c r="A524" s="10"/>
      <c r="B524" s="8"/>
    </row>
    <row r="525" spans="1:2" x14ac:dyDescent="0.2">
      <c r="A525" s="10"/>
      <c r="B525" s="8"/>
    </row>
    <row r="526" spans="1:2" x14ac:dyDescent="0.2">
      <c r="A526" s="10"/>
      <c r="B5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Table</vt:lpstr>
      <vt:lpstr>Logged Data</vt:lpstr>
      <vt:lpstr>GDP</vt:lpstr>
      <vt:lpstr>Consumption</vt:lpstr>
      <vt:lpstr>Inflation</vt:lpstr>
      <vt:lpstr>Government_Expenditure</vt:lpstr>
      <vt:lpstr>Total_Public_Debt</vt:lpstr>
      <vt:lpstr>Federal_Funds_Effective_Rate</vt:lpstr>
      <vt:lpstr>Working_Age_Population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Sangeve, DG, Mr [24991422@sun.ac.za]</dc:creator>
  <cp:keywords/>
  <dc:description/>
  <cp:lastModifiedBy>Sangeve, DG, Mr [24991422@sun.ac.za]</cp:lastModifiedBy>
  <cp:revision/>
  <dcterms:created xsi:type="dcterms:W3CDTF">2026-03-29T18:37:26Z</dcterms:created>
  <dcterms:modified xsi:type="dcterms:W3CDTF">2026-05-16T10:34:47Z</dcterms:modified>
  <cp:category/>
  <cp:contentStatus/>
</cp:coreProperties>
</file>